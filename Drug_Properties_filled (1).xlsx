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E:\paper 2\"/>
    </mc:Choice>
  </mc:AlternateContent>
  <xr:revisionPtr revIDLastSave="0" documentId="13_ncr:1_{C0391B2E-814C-4536-BADB-7F79A5E01E43}" xr6:coauthVersionLast="40" xr6:coauthVersionMax="40" xr10:uidLastSave="{00000000-0000-0000-0000-000000000000}"/>
  <bookViews>
    <workbookView xWindow="0" yWindow="0" windowWidth="19200" windowHeight="6790" tabRatio="500" xr2:uid="{00000000-000D-0000-FFFF-FFFF00000000}"/>
  </bookViews>
  <sheets>
    <sheet name="Sheet1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01" i="1" l="1"/>
  <c r="G101" i="1"/>
  <c r="K100" i="1"/>
  <c r="G100" i="1"/>
  <c r="K99" i="1"/>
  <c r="G99" i="1"/>
  <c r="K98" i="1"/>
  <c r="G98" i="1"/>
  <c r="K97" i="1"/>
  <c r="G97" i="1"/>
  <c r="K96" i="1"/>
  <c r="G96" i="1"/>
  <c r="K95" i="1"/>
  <c r="I95" i="1"/>
  <c r="G95" i="1"/>
  <c r="K94" i="1"/>
  <c r="G94" i="1"/>
  <c r="K93" i="1"/>
  <c r="G93" i="1"/>
  <c r="K92" i="1"/>
  <c r="G92" i="1"/>
  <c r="K91" i="1"/>
  <c r="G91" i="1"/>
  <c r="K90" i="1"/>
  <c r="I90" i="1"/>
  <c r="G90" i="1"/>
  <c r="K89" i="1"/>
  <c r="G89" i="1"/>
  <c r="K88" i="1"/>
  <c r="G88" i="1"/>
  <c r="K87" i="1"/>
  <c r="G87" i="1"/>
  <c r="K86" i="1"/>
  <c r="G86" i="1"/>
  <c r="K85" i="1"/>
  <c r="G85" i="1"/>
  <c r="K84" i="1"/>
  <c r="G84" i="1"/>
  <c r="K83" i="1"/>
  <c r="G83" i="1"/>
  <c r="K82" i="1"/>
  <c r="G82" i="1"/>
  <c r="K81" i="1"/>
  <c r="G81" i="1"/>
  <c r="K80" i="1"/>
  <c r="G80" i="1"/>
  <c r="K79" i="1"/>
  <c r="G79" i="1"/>
  <c r="K78" i="1"/>
  <c r="G78" i="1"/>
  <c r="K77" i="1"/>
  <c r="G77" i="1"/>
  <c r="K76" i="1"/>
  <c r="G76" i="1"/>
  <c r="K75" i="1"/>
  <c r="G75" i="1"/>
  <c r="K74" i="1"/>
  <c r="G74" i="1"/>
  <c r="K73" i="1"/>
  <c r="G73" i="1"/>
  <c r="K72" i="1"/>
  <c r="I72" i="1"/>
  <c r="G72" i="1"/>
  <c r="K71" i="1"/>
  <c r="G71" i="1"/>
  <c r="K70" i="1"/>
  <c r="G70" i="1"/>
  <c r="K69" i="1"/>
  <c r="G69" i="1"/>
  <c r="K68" i="1"/>
  <c r="G68" i="1"/>
  <c r="K67" i="1"/>
  <c r="G67" i="1"/>
  <c r="K66" i="1"/>
  <c r="G66" i="1"/>
  <c r="K65" i="1"/>
  <c r="G65" i="1"/>
  <c r="K64" i="1"/>
  <c r="G64" i="1"/>
  <c r="K63" i="1"/>
  <c r="G63" i="1"/>
  <c r="K62" i="1"/>
  <c r="G62" i="1"/>
  <c r="K61" i="1"/>
  <c r="G61" i="1"/>
  <c r="K60" i="1"/>
  <c r="G60" i="1"/>
  <c r="K59" i="1"/>
  <c r="G59" i="1"/>
  <c r="K58" i="1"/>
  <c r="G58" i="1"/>
  <c r="K57" i="1"/>
  <c r="G57" i="1"/>
  <c r="K56" i="1"/>
  <c r="G56" i="1"/>
  <c r="K55" i="1"/>
  <c r="G55" i="1"/>
  <c r="K54" i="1"/>
  <c r="G54" i="1"/>
  <c r="K53" i="1"/>
  <c r="G53" i="1"/>
  <c r="K52" i="1"/>
  <c r="G52" i="1"/>
  <c r="K51" i="1"/>
  <c r="G51" i="1"/>
  <c r="K50" i="1"/>
  <c r="G50" i="1"/>
  <c r="K49" i="1"/>
  <c r="G49" i="1"/>
  <c r="K48" i="1"/>
  <c r="G48" i="1"/>
  <c r="K47" i="1"/>
  <c r="G47" i="1"/>
  <c r="K46" i="1"/>
  <c r="G46" i="1"/>
  <c r="K45" i="1"/>
  <c r="G45" i="1"/>
  <c r="K44" i="1"/>
  <c r="G44" i="1"/>
  <c r="K43" i="1"/>
  <c r="G43" i="1"/>
  <c r="K42" i="1"/>
  <c r="G42" i="1"/>
  <c r="K41" i="1"/>
  <c r="G41" i="1"/>
  <c r="K40" i="1"/>
  <c r="G40" i="1"/>
  <c r="K39" i="1"/>
  <c r="I39" i="1"/>
  <c r="G39" i="1"/>
  <c r="K38" i="1"/>
  <c r="G38" i="1"/>
  <c r="K37" i="1"/>
  <c r="G37" i="1"/>
  <c r="K36" i="1"/>
  <c r="G36" i="1"/>
  <c r="K35" i="1"/>
  <c r="G35" i="1"/>
  <c r="K34" i="1"/>
  <c r="G34" i="1"/>
  <c r="K33" i="1"/>
  <c r="G33" i="1"/>
  <c r="K32" i="1"/>
  <c r="G32" i="1"/>
  <c r="K31" i="1"/>
  <c r="G31" i="1"/>
  <c r="K30" i="1"/>
  <c r="G30" i="1"/>
  <c r="K29" i="1"/>
  <c r="G29" i="1"/>
  <c r="K28" i="1"/>
  <c r="G28" i="1"/>
  <c r="K27" i="1"/>
  <c r="G27" i="1"/>
  <c r="K26" i="1"/>
  <c r="G26" i="1"/>
  <c r="K25" i="1"/>
  <c r="G25" i="1"/>
  <c r="K24" i="1"/>
  <c r="G24" i="1"/>
  <c r="K23" i="1"/>
  <c r="G23" i="1"/>
  <c r="K22" i="1"/>
  <c r="G22" i="1"/>
  <c r="K21" i="1"/>
  <c r="G21" i="1"/>
  <c r="K20" i="1"/>
  <c r="G20" i="1"/>
  <c r="K19" i="1"/>
  <c r="G19" i="1"/>
  <c r="K18" i="1"/>
  <c r="G18" i="1"/>
  <c r="K17" i="1"/>
  <c r="G17" i="1"/>
  <c r="K16" i="1"/>
  <c r="G16" i="1"/>
  <c r="K15" i="1"/>
  <c r="G15" i="1"/>
  <c r="K14" i="1"/>
  <c r="G14" i="1"/>
  <c r="K13" i="1"/>
  <c r="G13" i="1"/>
  <c r="K12" i="1"/>
  <c r="G12" i="1"/>
  <c r="K11" i="1"/>
  <c r="G11" i="1"/>
  <c r="K10" i="1"/>
  <c r="G10" i="1"/>
  <c r="K9" i="1"/>
  <c r="G9" i="1"/>
  <c r="K8" i="1"/>
  <c r="G8" i="1"/>
  <c r="K7" i="1"/>
  <c r="G7" i="1"/>
  <c r="K6" i="1"/>
  <c r="I6" i="1"/>
  <c r="G6" i="1"/>
  <c r="C6" i="1"/>
  <c r="K5" i="1"/>
  <c r="G5" i="1"/>
  <c r="K4" i="1"/>
  <c r="G4" i="1"/>
  <c r="K3" i="1"/>
  <c r="G3" i="1"/>
  <c r="K2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2" authorId="0" shapeId="0" xr:uid="{00000000-0006-0000-0000-000002000000}">
      <text>
        <r>
          <rPr>
            <sz val="10"/>
            <rFont val="Arial"/>
            <family val="2"/>
          </rPr>
          <t>Estimated: Lorentz-Lorenz relation converting Molar Refractivity to mean molecular polarizability. Formula: Polar (A^3) = Molar_Ref / 2.523</t>
        </r>
      </text>
    </comment>
    <comment ref="K2" authorId="0" shapeId="0" xr:uid="{00000000-0006-0000-0000-000008000000}">
      <text>
        <r>
          <rPr>
            <sz val="10"/>
            <rFont val="Arial"/>
            <family val="2"/>
          </rPr>
          <t>Estimated: simplified Delaney/ESOL equation (aromatic-proportion term omitted, not available in this dataset). Formula: LogS = 0.16 - 0.63*CLogP - 0.0062*MW + 0.066*Rot_Bonds</t>
        </r>
      </text>
    </comment>
    <comment ref="C6" authorId="0" shapeId="0" xr:uid="{00000000-0006-0000-0000-000001000000}">
      <text>
        <r>
          <rPr>
            <sz val="10"/>
            <rFont val="Arial"/>
            <family val="2"/>
          </rPr>
          <t>Estimated: linear regression PSA vs tPSA on this dataset's 99 known pairs (R=0.96). Formula: PSA = 0.9909*tPSA + 6.0223</t>
        </r>
      </text>
    </comment>
    <comment ref="I6" authorId="0" shapeId="0" xr:uid="{00000000-0006-0000-0000-000003000000}">
      <text>
        <r>
          <rPr>
            <sz val="10"/>
            <rFont val="Arial"/>
            <family val="2"/>
          </rPr>
          <t>Estimated: linear regression CLogP vs LogP on this dataset's 95 known pairs (R=0.83). Formula: CLogP = 0.8271*LogP + 0.4500</t>
        </r>
      </text>
    </comment>
    <comment ref="I39" authorId="0" shapeId="0" xr:uid="{00000000-0006-0000-0000-000004000000}">
      <text>
        <r>
          <rPr>
            <sz val="10"/>
            <rFont val="Arial"/>
            <family val="2"/>
          </rPr>
          <t>Estimated: linear regression CLogP vs LogP on this dataset's 95 known pairs (R=0.83). Formula: CLogP = 0.8271*LogP + 0.4500</t>
        </r>
      </text>
    </comment>
    <comment ref="I72" authorId="0" shapeId="0" xr:uid="{00000000-0006-0000-0000-000005000000}">
      <text>
        <r>
          <rPr>
            <sz val="10"/>
            <rFont val="Arial"/>
            <family val="2"/>
          </rPr>
          <t>Estimated: linear regression CLogP vs LogP on this dataset's 95 known pairs (R=0.83). Formula: CLogP = 0.8271*LogP + 0.4500</t>
        </r>
      </text>
    </comment>
    <comment ref="I90" authorId="0" shapeId="0" xr:uid="{00000000-0006-0000-0000-000006000000}">
      <text>
        <r>
          <rPr>
            <sz val="10"/>
            <rFont val="Arial"/>
            <family val="2"/>
          </rPr>
          <t>Estimated: linear regression CLogP vs LogP on this dataset's 95 known pairs (R=0.83). Formula: CLogP = 0.8271*LogP + 0.4500</t>
        </r>
      </text>
    </comment>
    <comment ref="I95" authorId="0" shapeId="0" xr:uid="{00000000-0006-0000-0000-000007000000}">
      <text>
        <r>
          <rPr>
            <sz val="10"/>
            <rFont val="Arial"/>
            <family val="2"/>
          </rPr>
          <t>Estimated: linear regression CLogP vs LogP on this dataset's 95 known pairs (R=0.83). Formula: CLogP = 0.8271*LogP + 0.4500</t>
        </r>
      </text>
    </comment>
  </commentList>
</comments>
</file>

<file path=xl/sharedStrings.xml><?xml version="1.0" encoding="utf-8"?>
<sst xmlns="http://schemas.openxmlformats.org/spreadsheetml/2006/main" count="111" uniqueCount="111">
  <si>
    <t>Drug</t>
  </si>
  <si>
    <t>LogP</t>
  </si>
  <si>
    <t>PSA</t>
  </si>
  <si>
    <t>MW</t>
  </si>
  <si>
    <t>Molar_Ref</t>
  </si>
  <si>
    <t>Rot_Bonds</t>
  </si>
  <si>
    <t>Polar</t>
  </si>
  <si>
    <t>tPSA</t>
  </si>
  <si>
    <t>CLogP</t>
  </si>
  <si>
    <t>CMR</t>
  </si>
  <si>
    <t>LogS</t>
  </si>
  <si>
    <t xml:space="preserve"> Nitroglycerin</t>
  </si>
  <si>
    <t>Isosorbide mononitrate</t>
  </si>
  <si>
    <t>Allisartan</t>
  </si>
  <si>
    <t>Molsidomine</t>
  </si>
  <si>
    <t>Penta tetranitrate</t>
  </si>
  <si>
    <t>Amyl nitrite</t>
  </si>
  <si>
    <t>Ivabradine</t>
  </si>
  <si>
    <t>Diltiazem</t>
  </si>
  <si>
    <t>Timolol</t>
  </si>
  <si>
    <t>Clopidogrel</t>
  </si>
  <si>
    <t>Amlodipine</t>
  </si>
  <si>
    <t>Nifedipine</t>
  </si>
  <si>
    <t>Felodipine</t>
  </si>
  <si>
    <t>Verapamil</t>
  </si>
  <si>
    <t>Atorvastatin</t>
  </si>
  <si>
    <t>Simvastatin</t>
  </si>
  <si>
    <t>Pravastatin</t>
  </si>
  <si>
    <t>Metoprolol</t>
  </si>
  <si>
    <t>Nadolol</t>
  </si>
  <si>
    <t>Atenolol</t>
  </si>
  <si>
    <t>Acebutolol</t>
  </si>
  <si>
    <t>Labetalol</t>
  </si>
  <si>
    <t>Aspirin</t>
  </si>
  <si>
    <t>Ticagrelor</t>
  </si>
  <si>
    <t>Captopril</t>
  </si>
  <si>
    <t>Prasugrel</t>
  </si>
  <si>
    <t>Warfarin</t>
  </si>
  <si>
    <t>Dabigatran</t>
  </si>
  <si>
    <t>Ramipril</t>
  </si>
  <si>
    <t>Losartan</t>
  </si>
  <si>
    <t>Valsartan</t>
  </si>
  <si>
    <t>Apixaban</t>
  </si>
  <si>
    <t>Enalapril</t>
  </si>
  <si>
    <t>Lisinopril</t>
  </si>
  <si>
    <t>Pitavastatin</t>
  </si>
  <si>
    <t>Dipyridamole</t>
  </si>
  <si>
    <t>Quinapril</t>
  </si>
  <si>
    <t>Nebivolol hydrochloride</t>
  </si>
  <si>
    <t>Fosinopril</t>
  </si>
  <si>
    <t>Tetrahydrocurcumin</t>
  </si>
  <si>
    <t>Metformin</t>
  </si>
  <si>
    <t>Pioglitazone</t>
  </si>
  <si>
    <t>Rosiglitazone</t>
  </si>
  <si>
    <t>Empagliflozin</t>
  </si>
  <si>
    <t>Dapagliflozin</t>
  </si>
  <si>
    <t>Canagliflozin</t>
  </si>
  <si>
    <t>Glimepiride</t>
  </si>
  <si>
    <t>Gliclazide</t>
  </si>
  <si>
    <t>Sitagliptin</t>
  </si>
  <si>
    <t>Omapatrilat</t>
  </si>
  <si>
    <t>Esomeprazole</t>
  </si>
  <si>
    <t>Spironolactone</t>
  </si>
  <si>
    <t>Eplerenone</t>
  </si>
  <si>
    <t>Hydralazine</t>
  </si>
  <si>
    <t>Minoxidil</t>
  </si>
  <si>
    <t>Amiodarone</t>
  </si>
  <si>
    <t>Dronedarone</t>
  </si>
  <si>
    <t>Flecainide</t>
  </si>
  <si>
    <t>Propafenone</t>
  </si>
  <si>
    <t>Disopyramide</t>
  </si>
  <si>
    <t>Sotalol</t>
  </si>
  <si>
    <t>Esmolol</t>
  </si>
  <si>
    <t>Pindolol</t>
  </si>
  <si>
    <t>Betaxolol</t>
  </si>
  <si>
    <t>Alprenolol</t>
  </si>
  <si>
    <t>Nicardipine</t>
  </si>
  <si>
    <t>Isradipine</t>
  </si>
  <si>
    <t>Nimodipine</t>
  </si>
  <si>
    <t>Clevidipine</t>
  </si>
  <si>
    <t>Bepridil</t>
  </si>
  <si>
    <t>Co-trimoxazole</t>
  </si>
  <si>
    <t>Sulfinpyrazone</t>
  </si>
  <si>
    <t>Indapamide</t>
  </si>
  <si>
    <t>Chlorthalidone</t>
  </si>
  <si>
    <t>Furosemide</t>
  </si>
  <si>
    <t>Torsemide</t>
  </si>
  <si>
    <t>Acetazolamide</t>
  </si>
  <si>
    <t>Trimetazidine</t>
  </si>
  <si>
    <t>Nicorandil</t>
  </si>
  <si>
    <t>Perhexiline</t>
  </si>
  <si>
    <t>Aliskiren</t>
  </si>
  <si>
    <t>Trandolapril</t>
  </si>
  <si>
    <t>Cilnidipine</t>
  </si>
  <si>
    <t>Lacidipine</t>
  </si>
  <si>
    <t>Manidipine</t>
  </si>
  <si>
    <t>Nitrendipine</t>
  </si>
  <si>
    <t>Bisoprolol</t>
  </si>
  <si>
    <t>Propranolol</t>
  </si>
  <si>
    <t>Lercanidipine hydrochloride</t>
  </si>
  <si>
    <t>Carvedilol</t>
  </si>
  <si>
    <t>Clentiazem</t>
  </si>
  <si>
    <t>Erythrityl tetranitrate</t>
  </si>
  <si>
    <t>Ranolazine</t>
  </si>
  <si>
    <t>Celiprolol hydrochloride</t>
  </si>
  <si>
    <t>Fasudil</t>
  </si>
  <si>
    <t>Roflumilast</t>
  </si>
  <si>
    <t>Perindopril</t>
  </si>
  <si>
    <t>Rivaroxaban</t>
  </si>
  <si>
    <t>Digoxin</t>
  </si>
  <si>
    <t>Sacubitril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</si>
</sst>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sz val="11"/>
      <color rgb="FF0000FF"/>
      <name val="Cambria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zoomScaleNormal="100" workbookViewId="0">
      <selection activeCell="E1" sqref="E1"/>
    </sheetView>
  </sheetViews>
  <sheetFormatPr defaultColWidth="8.6328125"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-1.0201</v>
      </c>
      <c r="C2">
        <v>165</v>
      </c>
      <c r="D2">
        <v>227.08500000000001</v>
      </c>
      <c r="E2">
        <v>37.760199999999998</v>
      </c>
      <c r="F2">
        <v>8</v>
      </c>
      <c r="G2" s="2">
        <f t="shared" ref="G2:G33" si="0">ROUND(E2/2.523,4)</f>
        <v>14.9664</v>
      </c>
      <c r="H2">
        <v>157.11000000000001</v>
      </c>
      <c r="I2">
        <v>1.6</v>
      </c>
      <c r="J2">
        <v>37.760199999999998</v>
      </c>
      <c r="K2" s="2">
        <f t="shared" ref="K2:K33" si="1">ROUND(0.16-0.63*I2-0.0062*D2+0.066*F2,3)</f>
        <v>-1.728</v>
      </c>
    </row>
    <row r="3" spans="1:11" x14ac:dyDescent="0.35">
      <c r="A3" t="s">
        <v>12</v>
      </c>
      <c r="B3">
        <v>-1.2782</v>
      </c>
      <c r="C3">
        <v>93.7</v>
      </c>
      <c r="D3">
        <v>191.13900000000001</v>
      </c>
      <c r="E3">
        <v>37.354199999999999</v>
      </c>
      <c r="F3">
        <v>2</v>
      </c>
      <c r="G3" s="2">
        <f t="shared" si="0"/>
        <v>14.8055</v>
      </c>
      <c r="H3">
        <v>91.06</v>
      </c>
      <c r="I3">
        <v>-0.4</v>
      </c>
      <c r="J3">
        <v>37.354199999999999</v>
      </c>
      <c r="K3" s="2">
        <f t="shared" si="1"/>
        <v>-0.64100000000000001</v>
      </c>
    </row>
    <row r="4" spans="1:11" x14ac:dyDescent="0.35">
      <c r="A4" t="s">
        <v>13</v>
      </c>
      <c r="B4">
        <v>4.2667999999999999</v>
      </c>
      <c r="C4">
        <v>92.5</v>
      </c>
      <c r="D4">
        <v>422.92</v>
      </c>
      <c r="E4">
        <v>115.9235</v>
      </c>
      <c r="F4">
        <v>8</v>
      </c>
      <c r="G4" s="2">
        <f t="shared" si="0"/>
        <v>45.9467</v>
      </c>
      <c r="H4">
        <v>92.51</v>
      </c>
      <c r="I4">
        <v>4.3</v>
      </c>
      <c r="J4">
        <v>115.9235</v>
      </c>
      <c r="K4" s="2">
        <f t="shared" si="1"/>
        <v>-4.6429999999999998</v>
      </c>
    </row>
    <row r="5" spans="1:11" x14ac:dyDescent="0.35">
      <c r="A5" t="s">
        <v>14</v>
      </c>
      <c r="B5">
        <v>-1.6854</v>
      </c>
      <c r="C5">
        <v>87</v>
      </c>
      <c r="D5">
        <v>242.23500000000001</v>
      </c>
      <c r="E5">
        <v>54.189</v>
      </c>
      <c r="F5">
        <v>3</v>
      </c>
      <c r="G5" s="2">
        <f t="shared" si="0"/>
        <v>21.478000000000002</v>
      </c>
      <c r="H5">
        <v>87.03</v>
      </c>
      <c r="I5">
        <v>2.2000000000000002</v>
      </c>
      <c r="J5">
        <v>54.189</v>
      </c>
      <c r="K5" s="2">
        <f t="shared" si="1"/>
        <v>-2.5299999999999998</v>
      </c>
    </row>
    <row r="6" spans="1:11" x14ac:dyDescent="0.35">
      <c r="A6" t="s">
        <v>15</v>
      </c>
      <c r="B6">
        <v>0.68290000000001205</v>
      </c>
      <c r="C6" s="2">
        <f>ROUND(0.990883018936707*H6+6.02229829464844,2)</f>
        <v>534.42999999999995</v>
      </c>
      <c r="D6">
        <v>1160.6679999999999</v>
      </c>
      <c r="E6">
        <v>264.4744</v>
      </c>
      <c r="F6">
        <v>12</v>
      </c>
      <c r="G6" s="2">
        <f t="shared" si="0"/>
        <v>104.8254</v>
      </c>
      <c r="H6">
        <v>533.27</v>
      </c>
      <c r="I6" s="2">
        <f>ROUND(0.827073817942068*B6+0.449952214760327,2)</f>
        <v>1.01</v>
      </c>
      <c r="J6">
        <v>264.4744</v>
      </c>
      <c r="K6" s="2">
        <f t="shared" si="1"/>
        <v>-6.88</v>
      </c>
    </row>
    <row r="7" spans="1:11" x14ac:dyDescent="0.35">
      <c r="A7" t="s">
        <v>16</v>
      </c>
      <c r="B7">
        <v>1.7304999999999999</v>
      </c>
      <c r="C7">
        <v>38.700000000000003</v>
      </c>
      <c r="D7">
        <v>117.148</v>
      </c>
      <c r="E7">
        <v>31.202000000000002</v>
      </c>
      <c r="F7">
        <v>4</v>
      </c>
      <c r="G7" s="2">
        <f t="shared" si="0"/>
        <v>12.367000000000001</v>
      </c>
      <c r="H7">
        <v>38.659999999999997</v>
      </c>
      <c r="I7">
        <v>1.7</v>
      </c>
      <c r="J7">
        <v>31.202000000000002</v>
      </c>
      <c r="K7" s="2">
        <f t="shared" si="1"/>
        <v>-1.373</v>
      </c>
    </row>
    <row r="8" spans="1:11" x14ac:dyDescent="0.35">
      <c r="A8" t="s">
        <v>17</v>
      </c>
      <c r="B8">
        <v>3.31</v>
      </c>
      <c r="C8">
        <v>60.5</v>
      </c>
      <c r="D8">
        <v>468.59399999999999</v>
      </c>
      <c r="E8">
        <v>131.63900000000001</v>
      </c>
      <c r="F8">
        <v>10</v>
      </c>
      <c r="G8" s="2">
        <f t="shared" si="0"/>
        <v>52.175600000000003</v>
      </c>
      <c r="H8">
        <v>60.47</v>
      </c>
      <c r="I8">
        <v>2.4</v>
      </c>
      <c r="J8">
        <v>131.63900000000001</v>
      </c>
      <c r="K8" s="2">
        <f t="shared" si="1"/>
        <v>-3.597</v>
      </c>
    </row>
    <row r="9" spans="1:11" x14ac:dyDescent="0.35">
      <c r="A9" t="s">
        <v>18</v>
      </c>
      <c r="B9">
        <v>3.3685</v>
      </c>
      <c r="C9">
        <v>84.4</v>
      </c>
      <c r="D9">
        <v>414.52699999999999</v>
      </c>
      <c r="E9">
        <v>114.495</v>
      </c>
      <c r="F9">
        <v>6</v>
      </c>
      <c r="G9" s="2">
        <f t="shared" si="0"/>
        <v>45.380499999999998</v>
      </c>
      <c r="H9">
        <v>59.08</v>
      </c>
      <c r="I9">
        <v>3.1</v>
      </c>
      <c r="J9">
        <v>114.495</v>
      </c>
      <c r="K9" s="2">
        <f t="shared" si="1"/>
        <v>-3.9670000000000001</v>
      </c>
    </row>
    <row r="10" spans="1:11" x14ac:dyDescent="0.35">
      <c r="A10" t="s">
        <v>19</v>
      </c>
      <c r="B10">
        <v>0.50249999999999995</v>
      </c>
      <c r="C10">
        <v>108</v>
      </c>
      <c r="D10">
        <v>316.42700000000002</v>
      </c>
      <c r="E10">
        <v>82.198499999999996</v>
      </c>
      <c r="F10">
        <v>6</v>
      </c>
      <c r="G10" s="2">
        <f t="shared" si="0"/>
        <v>32.579700000000003</v>
      </c>
      <c r="H10">
        <v>79.739999999999995</v>
      </c>
      <c r="I10">
        <v>1.8</v>
      </c>
      <c r="J10">
        <v>82.198499999999996</v>
      </c>
      <c r="K10" s="2">
        <f t="shared" si="1"/>
        <v>-2.54</v>
      </c>
    </row>
    <row r="11" spans="1:11" x14ac:dyDescent="0.35">
      <c r="A11" t="s">
        <v>20</v>
      </c>
      <c r="B11">
        <v>3.6739000000000002</v>
      </c>
      <c r="C11">
        <v>57.8</v>
      </c>
      <c r="D11">
        <v>321.82900000000001</v>
      </c>
      <c r="E11">
        <v>84.641999999999996</v>
      </c>
      <c r="F11">
        <v>3</v>
      </c>
      <c r="G11" s="2">
        <f t="shared" si="0"/>
        <v>33.548200000000001</v>
      </c>
      <c r="H11">
        <v>29.54</v>
      </c>
      <c r="I11">
        <v>3.8</v>
      </c>
      <c r="J11">
        <v>84.641999999999996</v>
      </c>
      <c r="K11" s="2">
        <f t="shared" si="1"/>
        <v>-4.0309999999999997</v>
      </c>
    </row>
    <row r="12" spans="1:11" x14ac:dyDescent="0.35">
      <c r="A12" t="s">
        <v>21</v>
      </c>
      <c r="B12">
        <v>2.2663000000000002</v>
      </c>
      <c r="C12">
        <v>99.9</v>
      </c>
      <c r="D12">
        <v>408.88200000000001</v>
      </c>
      <c r="E12">
        <v>105.5771</v>
      </c>
      <c r="F12">
        <v>8</v>
      </c>
      <c r="G12" s="2">
        <f t="shared" si="0"/>
        <v>41.8459</v>
      </c>
      <c r="H12">
        <v>99.88</v>
      </c>
      <c r="I12">
        <v>3</v>
      </c>
      <c r="J12">
        <v>105.5771</v>
      </c>
      <c r="K12" s="2">
        <f t="shared" si="1"/>
        <v>-3.7370000000000001</v>
      </c>
    </row>
    <row r="13" spans="1:11" x14ac:dyDescent="0.35">
      <c r="A13" t="s">
        <v>22</v>
      </c>
      <c r="B13">
        <v>2.1756000000000002</v>
      </c>
      <c r="C13">
        <v>110</v>
      </c>
      <c r="D13">
        <v>346.339</v>
      </c>
      <c r="E13">
        <v>88.405100000000004</v>
      </c>
      <c r="F13">
        <v>4</v>
      </c>
      <c r="G13" s="2">
        <f t="shared" si="0"/>
        <v>35.039700000000003</v>
      </c>
      <c r="H13">
        <v>107.77</v>
      </c>
      <c r="I13">
        <v>2.2000000000000002</v>
      </c>
      <c r="J13">
        <v>88.405100000000004</v>
      </c>
      <c r="K13" s="2">
        <f t="shared" si="1"/>
        <v>-3.109</v>
      </c>
    </row>
    <row r="14" spans="1:11" x14ac:dyDescent="0.35">
      <c r="A14" t="s">
        <v>23</v>
      </c>
      <c r="B14">
        <v>3.9643000000000002</v>
      </c>
      <c r="C14">
        <v>64.599999999999994</v>
      </c>
      <c r="D14">
        <v>384.25900000000001</v>
      </c>
      <c r="E14">
        <v>96.387699999999995</v>
      </c>
      <c r="F14">
        <v>4</v>
      </c>
      <c r="G14" s="2">
        <f t="shared" si="0"/>
        <v>38.203600000000002</v>
      </c>
      <c r="H14">
        <v>64.63</v>
      </c>
      <c r="I14">
        <v>3.9</v>
      </c>
      <c r="J14">
        <v>96.387699999999995</v>
      </c>
      <c r="K14" s="2">
        <f t="shared" si="1"/>
        <v>-4.415</v>
      </c>
    </row>
    <row r="15" spans="1:11" x14ac:dyDescent="0.35">
      <c r="A15" t="s">
        <v>24</v>
      </c>
      <c r="B15">
        <v>5.0930800000000103</v>
      </c>
      <c r="C15">
        <v>64</v>
      </c>
      <c r="D15">
        <v>454.61099999999999</v>
      </c>
      <c r="E15">
        <v>131.65600000000001</v>
      </c>
      <c r="F15">
        <v>13</v>
      </c>
      <c r="G15" s="2">
        <f t="shared" si="0"/>
        <v>52.182299999999998</v>
      </c>
      <c r="H15">
        <v>63.95</v>
      </c>
      <c r="I15">
        <v>3.8</v>
      </c>
      <c r="J15">
        <v>131.65600000000001</v>
      </c>
      <c r="K15" s="2">
        <f t="shared" si="1"/>
        <v>-4.1950000000000003</v>
      </c>
    </row>
    <row r="16" spans="1:11" x14ac:dyDescent="0.35">
      <c r="A16" t="s">
        <v>25</v>
      </c>
      <c r="B16">
        <v>6.3136000000000099</v>
      </c>
      <c r="C16">
        <v>112</v>
      </c>
      <c r="D16">
        <v>558.65</v>
      </c>
      <c r="E16">
        <v>157.2466</v>
      </c>
      <c r="F16">
        <v>12</v>
      </c>
      <c r="G16" s="2">
        <f t="shared" si="0"/>
        <v>62.325200000000002</v>
      </c>
      <c r="H16">
        <v>111.79</v>
      </c>
      <c r="I16">
        <v>5</v>
      </c>
      <c r="J16">
        <v>157.2466</v>
      </c>
      <c r="K16" s="2">
        <f t="shared" si="1"/>
        <v>-5.6619999999999999</v>
      </c>
    </row>
    <row r="17" spans="1:11" x14ac:dyDescent="0.35">
      <c r="A17" t="s">
        <v>26</v>
      </c>
      <c r="B17">
        <v>4.5856000000000101</v>
      </c>
      <c r="C17">
        <v>72.8</v>
      </c>
      <c r="D17">
        <v>418.57400000000001</v>
      </c>
      <c r="E17">
        <v>115.45480000000001</v>
      </c>
      <c r="F17">
        <v>6</v>
      </c>
      <c r="G17" s="2">
        <f t="shared" si="0"/>
        <v>45.760899999999999</v>
      </c>
      <c r="H17">
        <v>72.83</v>
      </c>
      <c r="I17">
        <v>4.7</v>
      </c>
      <c r="J17">
        <v>115.45480000000001</v>
      </c>
      <c r="K17" s="2">
        <f t="shared" si="1"/>
        <v>-5</v>
      </c>
    </row>
    <row r="18" spans="1:11" x14ac:dyDescent="0.35">
      <c r="A18" t="s">
        <v>27</v>
      </c>
      <c r="B18">
        <v>2.4403999999999999</v>
      </c>
      <c r="C18">
        <v>124</v>
      </c>
      <c r="D18">
        <v>424.53399999999999</v>
      </c>
      <c r="E18">
        <v>111.4432</v>
      </c>
      <c r="F18">
        <v>10</v>
      </c>
      <c r="G18" s="2">
        <f t="shared" si="0"/>
        <v>44.170900000000003</v>
      </c>
      <c r="H18">
        <v>124.29</v>
      </c>
      <c r="I18">
        <v>1.6</v>
      </c>
      <c r="J18">
        <v>111.4432</v>
      </c>
      <c r="K18" s="2">
        <f t="shared" si="1"/>
        <v>-2.82</v>
      </c>
    </row>
    <row r="19" spans="1:11" x14ac:dyDescent="0.35">
      <c r="A19" t="s">
        <v>28</v>
      </c>
      <c r="B19">
        <v>1.6132</v>
      </c>
      <c r="C19">
        <v>50.7</v>
      </c>
      <c r="D19">
        <v>267.36900000000003</v>
      </c>
      <c r="E19">
        <v>76.662499999999994</v>
      </c>
      <c r="F19">
        <v>9</v>
      </c>
      <c r="G19" s="2">
        <f t="shared" si="0"/>
        <v>30.3855</v>
      </c>
      <c r="H19">
        <v>50.72</v>
      </c>
      <c r="I19">
        <v>1.9</v>
      </c>
      <c r="J19">
        <v>76.662499999999994</v>
      </c>
      <c r="K19" s="2">
        <f t="shared" si="1"/>
        <v>-2.101</v>
      </c>
    </row>
    <row r="20" spans="1:11" x14ac:dyDescent="0.35">
      <c r="A20" t="s">
        <v>29</v>
      </c>
      <c r="B20">
        <v>0.63480000000000003</v>
      </c>
      <c r="C20">
        <v>82</v>
      </c>
      <c r="D20">
        <v>309.40600000000001</v>
      </c>
      <c r="E20">
        <v>85.121099999999998</v>
      </c>
      <c r="F20">
        <v>5</v>
      </c>
      <c r="G20" s="2">
        <f t="shared" si="0"/>
        <v>33.738</v>
      </c>
      <c r="H20">
        <v>81.95</v>
      </c>
      <c r="I20">
        <v>0.7</v>
      </c>
      <c r="J20">
        <v>85.121099999999998</v>
      </c>
      <c r="K20" s="2">
        <f t="shared" si="1"/>
        <v>-1.869</v>
      </c>
    </row>
    <row r="21" spans="1:11" x14ac:dyDescent="0.35">
      <c r="A21" t="s">
        <v>30</v>
      </c>
      <c r="B21">
        <v>0.4521</v>
      </c>
      <c r="C21">
        <v>84.6</v>
      </c>
      <c r="D21">
        <v>266.34100000000001</v>
      </c>
      <c r="E21">
        <v>73.980900000000005</v>
      </c>
      <c r="F21">
        <v>8</v>
      </c>
      <c r="G21" s="2">
        <f t="shared" si="0"/>
        <v>29.322600000000001</v>
      </c>
      <c r="H21">
        <v>84.58</v>
      </c>
      <c r="I21">
        <v>0.2</v>
      </c>
      <c r="J21">
        <v>73.980900000000005</v>
      </c>
      <c r="K21" s="2">
        <f t="shared" si="1"/>
        <v>-1.089</v>
      </c>
    </row>
    <row r="22" spans="1:11" x14ac:dyDescent="0.35">
      <c r="A22" t="s">
        <v>31</v>
      </c>
      <c r="B22">
        <v>2.3654999999999999</v>
      </c>
      <c r="C22">
        <v>87.7</v>
      </c>
      <c r="D22">
        <v>336.43200000000002</v>
      </c>
      <c r="E22">
        <v>94.624700000000104</v>
      </c>
      <c r="F22">
        <v>10</v>
      </c>
      <c r="G22" s="2">
        <f t="shared" si="0"/>
        <v>37.504800000000003</v>
      </c>
      <c r="H22">
        <v>87.66</v>
      </c>
      <c r="I22">
        <v>1.7</v>
      </c>
      <c r="J22">
        <v>94.624700000000104</v>
      </c>
      <c r="K22" s="2">
        <f t="shared" si="1"/>
        <v>-2.3370000000000002</v>
      </c>
    </row>
    <row r="23" spans="1:11" x14ac:dyDescent="0.35">
      <c r="A23" t="s">
        <v>32</v>
      </c>
      <c r="B23">
        <v>2.1354000000000002</v>
      </c>
      <c r="C23">
        <v>95.6</v>
      </c>
      <c r="D23">
        <v>328.41199999999998</v>
      </c>
      <c r="E23">
        <v>93.812200000000104</v>
      </c>
      <c r="F23">
        <v>8</v>
      </c>
      <c r="G23" s="2">
        <f t="shared" si="0"/>
        <v>37.1828</v>
      </c>
      <c r="H23">
        <v>95.58</v>
      </c>
      <c r="I23">
        <v>3.1</v>
      </c>
      <c r="J23">
        <v>93.812200000000104</v>
      </c>
      <c r="K23" s="2">
        <f t="shared" si="1"/>
        <v>-3.3010000000000002</v>
      </c>
    </row>
    <row r="24" spans="1:11" x14ac:dyDescent="0.35">
      <c r="A24" t="s">
        <v>33</v>
      </c>
      <c r="B24">
        <v>1.3101</v>
      </c>
      <c r="C24">
        <v>63.6</v>
      </c>
      <c r="D24">
        <v>180.15899999999999</v>
      </c>
      <c r="E24">
        <v>44.710299999999997</v>
      </c>
      <c r="F24">
        <v>2</v>
      </c>
      <c r="G24" s="2">
        <f t="shared" si="0"/>
        <v>17.7211</v>
      </c>
      <c r="H24">
        <v>63.6</v>
      </c>
      <c r="I24">
        <v>1.2</v>
      </c>
      <c r="J24">
        <v>44.710299999999997</v>
      </c>
      <c r="K24" s="2">
        <f t="shared" si="1"/>
        <v>-1.581</v>
      </c>
    </row>
    <row r="25" spans="1:11" x14ac:dyDescent="0.35">
      <c r="A25" t="s">
        <v>34</v>
      </c>
      <c r="B25">
        <v>2.0137</v>
      </c>
      <c r="C25">
        <v>164</v>
      </c>
      <c r="D25">
        <v>522.57799999999997</v>
      </c>
      <c r="E25">
        <v>127.7531</v>
      </c>
      <c r="F25">
        <v>10</v>
      </c>
      <c r="G25" s="2">
        <f t="shared" si="0"/>
        <v>50.635399999999997</v>
      </c>
      <c r="H25">
        <v>138.44</v>
      </c>
      <c r="I25">
        <v>2</v>
      </c>
      <c r="J25">
        <v>127.7531</v>
      </c>
      <c r="K25" s="2">
        <f t="shared" si="1"/>
        <v>-3.68</v>
      </c>
    </row>
    <row r="26" spans="1:11" x14ac:dyDescent="0.35">
      <c r="A26" t="s">
        <v>35</v>
      </c>
      <c r="B26">
        <v>0.62790000000000001</v>
      </c>
      <c r="C26">
        <v>58.6</v>
      </c>
      <c r="D26">
        <v>217.29</v>
      </c>
      <c r="E26">
        <v>55.387799999999999</v>
      </c>
      <c r="F26">
        <v>3</v>
      </c>
      <c r="G26" s="2">
        <f t="shared" si="0"/>
        <v>21.953199999999999</v>
      </c>
      <c r="H26">
        <v>57.61</v>
      </c>
      <c r="I26">
        <v>0.3</v>
      </c>
      <c r="J26">
        <v>55.387799999999999</v>
      </c>
      <c r="K26" s="2">
        <f t="shared" si="1"/>
        <v>-1.1779999999999999</v>
      </c>
    </row>
    <row r="27" spans="1:11" x14ac:dyDescent="0.35">
      <c r="A27" t="s">
        <v>36</v>
      </c>
      <c r="B27">
        <v>3.891</v>
      </c>
      <c r="C27">
        <v>74.900000000000006</v>
      </c>
      <c r="D27">
        <v>373.44900000000001</v>
      </c>
      <c r="E27">
        <v>96.614000000000004</v>
      </c>
      <c r="F27">
        <v>5</v>
      </c>
      <c r="G27" s="2">
        <f t="shared" si="0"/>
        <v>38.293300000000002</v>
      </c>
      <c r="H27">
        <v>46.61</v>
      </c>
      <c r="I27">
        <v>3.6</v>
      </c>
      <c r="J27">
        <v>96.614000000000004</v>
      </c>
      <c r="K27" s="2">
        <f t="shared" si="1"/>
        <v>-4.093</v>
      </c>
    </row>
    <row r="28" spans="1:11" x14ac:dyDescent="0.35">
      <c r="A28" t="s">
        <v>37</v>
      </c>
      <c r="B28">
        <v>3.6095999999999999</v>
      </c>
      <c r="C28">
        <v>63.6</v>
      </c>
      <c r="D28">
        <v>308.33300000000003</v>
      </c>
      <c r="E28">
        <v>87.731800000000106</v>
      </c>
      <c r="F28">
        <v>4</v>
      </c>
      <c r="G28" s="2">
        <f t="shared" si="0"/>
        <v>34.772799999999997</v>
      </c>
      <c r="H28">
        <v>67.510000000000005</v>
      </c>
      <c r="I28">
        <v>2.7</v>
      </c>
      <c r="J28">
        <v>87.731800000000106</v>
      </c>
      <c r="K28" s="2">
        <f t="shared" si="1"/>
        <v>-3.1890000000000001</v>
      </c>
    </row>
    <row r="29" spans="1:11" x14ac:dyDescent="0.35">
      <c r="A29" t="s">
        <v>38</v>
      </c>
      <c r="B29">
        <v>2.98597</v>
      </c>
      <c r="C29">
        <v>150</v>
      </c>
      <c r="D29">
        <v>471.52100000000002</v>
      </c>
      <c r="E29">
        <v>133.6651</v>
      </c>
      <c r="F29">
        <v>9</v>
      </c>
      <c r="G29" s="2">
        <f t="shared" si="0"/>
        <v>52.9786</v>
      </c>
      <c r="H29">
        <v>150.22</v>
      </c>
      <c r="I29">
        <v>1.7</v>
      </c>
      <c r="J29">
        <v>133.6651</v>
      </c>
      <c r="K29" s="2">
        <f t="shared" si="1"/>
        <v>-3.24</v>
      </c>
    </row>
    <row r="30" spans="1:11" x14ac:dyDescent="0.35">
      <c r="A30" t="s">
        <v>39</v>
      </c>
      <c r="B30">
        <v>2.3832</v>
      </c>
      <c r="C30">
        <v>95.9</v>
      </c>
      <c r="D30">
        <v>416.51799999999997</v>
      </c>
      <c r="E30">
        <v>111.7975</v>
      </c>
      <c r="F30">
        <v>9</v>
      </c>
      <c r="G30" s="2">
        <f t="shared" si="0"/>
        <v>44.311300000000003</v>
      </c>
      <c r="H30">
        <v>95.94</v>
      </c>
      <c r="I30">
        <v>1.4</v>
      </c>
      <c r="J30">
        <v>111.7975</v>
      </c>
      <c r="K30" s="2">
        <f t="shared" si="1"/>
        <v>-2.71</v>
      </c>
    </row>
    <row r="31" spans="1:11" x14ac:dyDescent="0.35">
      <c r="A31" t="s">
        <v>40</v>
      </c>
      <c r="B31">
        <v>4.2667999999999999</v>
      </c>
      <c r="C31">
        <v>92.5</v>
      </c>
      <c r="D31">
        <v>422.92</v>
      </c>
      <c r="E31">
        <v>115.9235</v>
      </c>
      <c r="F31">
        <v>8</v>
      </c>
      <c r="G31" s="2">
        <f t="shared" si="0"/>
        <v>45.9467</v>
      </c>
      <c r="H31">
        <v>92.51</v>
      </c>
      <c r="I31">
        <v>4.3</v>
      </c>
      <c r="J31">
        <v>115.9235</v>
      </c>
      <c r="K31" s="2">
        <f t="shared" si="1"/>
        <v>-4.6429999999999998</v>
      </c>
    </row>
    <row r="32" spans="1:11" x14ac:dyDescent="0.35">
      <c r="A32" t="s">
        <v>41</v>
      </c>
      <c r="B32">
        <v>4.1616999999999997</v>
      </c>
      <c r="C32">
        <v>112</v>
      </c>
      <c r="D32">
        <v>435.52800000000002</v>
      </c>
      <c r="E32">
        <v>121.3865</v>
      </c>
      <c r="F32">
        <v>10</v>
      </c>
      <c r="G32" s="2">
        <f t="shared" si="0"/>
        <v>48.112000000000002</v>
      </c>
      <c r="H32">
        <v>112.07</v>
      </c>
      <c r="I32">
        <v>4.4000000000000004</v>
      </c>
      <c r="J32">
        <v>121.3865</v>
      </c>
      <c r="K32" s="2">
        <f t="shared" si="1"/>
        <v>-4.6520000000000001</v>
      </c>
    </row>
    <row r="33" spans="1:11" x14ac:dyDescent="0.35">
      <c r="A33" t="s">
        <v>42</v>
      </c>
      <c r="B33">
        <v>2.6996000000000002</v>
      </c>
      <c r="C33">
        <v>111</v>
      </c>
      <c r="D33">
        <v>459.50599999999997</v>
      </c>
      <c r="E33">
        <v>126.6604</v>
      </c>
      <c r="F33">
        <v>5</v>
      </c>
      <c r="G33" s="2">
        <f t="shared" si="0"/>
        <v>50.202300000000001</v>
      </c>
      <c r="H33">
        <v>110.76</v>
      </c>
      <c r="I33">
        <v>2.2000000000000002</v>
      </c>
      <c r="J33">
        <v>126.6604</v>
      </c>
      <c r="K33" s="2">
        <f t="shared" si="1"/>
        <v>-3.7450000000000001</v>
      </c>
    </row>
    <row r="34" spans="1:11" x14ac:dyDescent="0.35">
      <c r="A34" t="s">
        <v>43</v>
      </c>
      <c r="B34">
        <v>1.6046</v>
      </c>
      <c r="C34">
        <v>95.9</v>
      </c>
      <c r="D34">
        <v>376.45299999999997</v>
      </c>
      <c r="E34">
        <v>100.1525</v>
      </c>
      <c r="F34">
        <v>9</v>
      </c>
      <c r="G34" s="2">
        <f t="shared" ref="G34:G65" si="2">ROUND(E34/2.523,4)</f>
        <v>39.695799999999998</v>
      </c>
      <c r="H34">
        <v>95.94</v>
      </c>
      <c r="I34">
        <v>-0.1</v>
      </c>
      <c r="J34">
        <v>100.1525</v>
      </c>
      <c r="K34" s="2">
        <f t="shared" ref="K34:K65" si="3">ROUND(0.16-0.63*I34-0.0062*D34+0.066*F34,3)</f>
        <v>-1.5169999999999999</v>
      </c>
    </row>
    <row r="35" spans="1:11" x14ac:dyDescent="0.35">
      <c r="A35" t="s">
        <v>44</v>
      </c>
      <c r="B35">
        <v>1.2352000000000001</v>
      </c>
      <c r="C35">
        <v>133</v>
      </c>
      <c r="D35">
        <v>405.495</v>
      </c>
      <c r="E35">
        <v>108.3867</v>
      </c>
      <c r="F35">
        <v>12</v>
      </c>
      <c r="G35" s="2">
        <f t="shared" si="2"/>
        <v>42.959499999999998</v>
      </c>
      <c r="H35">
        <v>132.96</v>
      </c>
      <c r="I35">
        <v>-2.9</v>
      </c>
      <c r="J35">
        <v>108.3867</v>
      </c>
      <c r="K35" s="2">
        <f t="shared" si="3"/>
        <v>0.26500000000000001</v>
      </c>
    </row>
    <row r="36" spans="1:11" x14ac:dyDescent="0.35">
      <c r="A36" t="s">
        <v>45</v>
      </c>
      <c r="B36">
        <v>4.5181000000000102</v>
      </c>
      <c r="C36">
        <v>90.7</v>
      </c>
      <c r="D36">
        <v>421.46800000000002</v>
      </c>
      <c r="E36">
        <v>117.0294</v>
      </c>
      <c r="F36">
        <v>8</v>
      </c>
      <c r="G36" s="2">
        <f t="shared" si="2"/>
        <v>46.384999999999998</v>
      </c>
      <c r="H36">
        <v>90.65</v>
      </c>
      <c r="I36">
        <v>3.5</v>
      </c>
      <c r="J36">
        <v>117.0294</v>
      </c>
      <c r="K36" s="2">
        <f t="shared" si="3"/>
        <v>-4.13</v>
      </c>
    </row>
    <row r="37" spans="1:11" x14ac:dyDescent="0.35">
      <c r="A37" t="s">
        <v>46</v>
      </c>
      <c r="B37">
        <v>-1.75999999999981E-2</v>
      </c>
      <c r="C37">
        <v>145</v>
      </c>
      <c r="D37">
        <v>504.63600000000099</v>
      </c>
      <c r="E37">
        <v>140.02520000000001</v>
      </c>
      <c r="F37">
        <v>12</v>
      </c>
      <c r="G37" s="2">
        <f t="shared" si="2"/>
        <v>55.499499999999998</v>
      </c>
      <c r="H37">
        <v>145.44</v>
      </c>
      <c r="I37">
        <v>0.7</v>
      </c>
      <c r="J37">
        <v>140.02520000000001</v>
      </c>
      <c r="K37" s="2">
        <f t="shared" si="3"/>
        <v>-2.6179999999999999</v>
      </c>
    </row>
    <row r="38" spans="1:11" x14ac:dyDescent="0.35">
      <c r="A38" t="s">
        <v>47</v>
      </c>
      <c r="B38">
        <v>2.5670999999999999</v>
      </c>
      <c r="C38">
        <v>95.9</v>
      </c>
      <c r="D38">
        <v>438.524</v>
      </c>
      <c r="E38">
        <v>119.9015</v>
      </c>
      <c r="F38">
        <v>9</v>
      </c>
      <c r="G38" s="2">
        <f t="shared" si="2"/>
        <v>47.523400000000002</v>
      </c>
      <c r="H38">
        <v>95.94</v>
      </c>
      <c r="I38">
        <v>1.2</v>
      </c>
      <c r="J38">
        <v>119.9015</v>
      </c>
      <c r="K38" s="2">
        <f t="shared" si="3"/>
        <v>-2.7210000000000001</v>
      </c>
    </row>
    <row r="39" spans="1:11" x14ac:dyDescent="0.35">
      <c r="A39" t="s">
        <v>48</v>
      </c>
      <c r="B39">
        <v>2.7854000000000001</v>
      </c>
      <c r="C39">
        <v>71</v>
      </c>
      <c r="D39">
        <v>441.90199999999999</v>
      </c>
      <c r="E39">
        <v>110.4053</v>
      </c>
      <c r="F39">
        <v>6</v>
      </c>
      <c r="G39" s="2">
        <f t="shared" si="2"/>
        <v>43.759500000000003</v>
      </c>
      <c r="H39">
        <v>70.95</v>
      </c>
      <c r="I39" s="2">
        <f>ROUND(0.827073817942068*B39+0.449952214760327,2)</f>
        <v>2.75</v>
      </c>
      <c r="J39">
        <v>110.4053</v>
      </c>
      <c r="K39" s="2">
        <f t="shared" si="3"/>
        <v>-3.9159999999999999</v>
      </c>
    </row>
    <row r="40" spans="1:11" x14ac:dyDescent="0.35">
      <c r="A40" t="s">
        <v>49</v>
      </c>
      <c r="B40">
        <v>6.1213000000000104</v>
      </c>
      <c r="C40">
        <v>110</v>
      </c>
      <c r="D40">
        <v>563.67200000000003</v>
      </c>
      <c r="E40">
        <v>150.63329999999999</v>
      </c>
      <c r="F40">
        <v>14</v>
      </c>
      <c r="G40" s="2">
        <f t="shared" si="2"/>
        <v>59.704000000000001</v>
      </c>
      <c r="H40">
        <v>110.21</v>
      </c>
      <c r="I40">
        <v>6.2</v>
      </c>
      <c r="J40">
        <v>150.63329999999999</v>
      </c>
      <c r="K40" s="2">
        <f t="shared" si="3"/>
        <v>-6.3170000000000002</v>
      </c>
    </row>
    <row r="41" spans="1:11" x14ac:dyDescent="0.35">
      <c r="A41" t="s">
        <v>50</v>
      </c>
      <c r="B41">
        <v>3.2086999999999999</v>
      </c>
      <c r="C41">
        <v>93.1</v>
      </c>
      <c r="D41">
        <v>372.41699999999997</v>
      </c>
      <c r="E41">
        <v>100.59059999999999</v>
      </c>
      <c r="F41">
        <v>10</v>
      </c>
      <c r="G41" s="2">
        <f t="shared" si="2"/>
        <v>39.869399999999999</v>
      </c>
      <c r="H41">
        <v>93.06</v>
      </c>
      <c r="I41">
        <v>2.8</v>
      </c>
      <c r="J41">
        <v>100.59059999999999</v>
      </c>
      <c r="K41" s="2">
        <f t="shared" si="3"/>
        <v>-3.2530000000000001</v>
      </c>
    </row>
    <row r="42" spans="1:11" x14ac:dyDescent="0.35">
      <c r="A42" t="s">
        <v>51</v>
      </c>
      <c r="B42">
        <v>-1.24383</v>
      </c>
      <c r="C42">
        <v>91.5</v>
      </c>
      <c r="D42">
        <v>129.167</v>
      </c>
      <c r="E42">
        <v>37.223500000000001</v>
      </c>
      <c r="F42">
        <v>0</v>
      </c>
      <c r="G42" s="2">
        <f t="shared" si="2"/>
        <v>14.7537</v>
      </c>
      <c r="H42">
        <v>91.49</v>
      </c>
      <c r="I42">
        <v>-1.3</v>
      </c>
      <c r="J42">
        <v>37.223500000000001</v>
      </c>
      <c r="K42" s="2">
        <f t="shared" si="3"/>
        <v>0.17799999999999999</v>
      </c>
    </row>
    <row r="43" spans="1:11" x14ac:dyDescent="0.35">
      <c r="A43" t="s">
        <v>52</v>
      </c>
      <c r="B43">
        <v>3.1596000000000002</v>
      </c>
      <c r="C43">
        <v>93.6</v>
      </c>
      <c r="D43">
        <v>356.447</v>
      </c>
      <c r="E43">
        <v>97.877700000000004</v>
      </c>
      <c r="F43">
        <v>7</v>
      </c>
      <c r="G43" s="2">
        <f t="shared" si="2"/>
        <v>38.794199999999996</v>
      </c>
      <c r="H43">
        <v>68.290000000000006</v>
      </c>
      <c r="I43">
        <v>3.8</v>
      </c>
      <c r="J43">
        <v>97.877700000000004</v>
      </c>
      <c r="K43" s="2">
        <f t="shared" si="3"/>
        <v>-3.9820000000000002</v>
      </c>
    </row>
    <row r="44" spans="1:11" x14ac:dyDescent="0.35">
      <c r="A44" t="s">
        <v>53</v>
      </c>
      <c r="B44">
        <v>2.4908999999999999</v>
      </c>
      <c r="C44">
        <v>96.8</v>
      </c>
      <c r="D44">
        <v>357.435</v>
      </c>
      <c r="E44">
        <v>98.065700000000007</v>
      </c>
      <c r="F44">
        <v>7</v>
      </c>
      <c r="G44" s="2">
        <f t="shared" si="2"/>
        <v>38.868699999999997</v>
      </c>
      <c r="H44">
        <v>71.53</v>
      </c>
      <c r="I44">
        <v>3.1</v>
      </c>
      <c r="J44">
        <v>98.065700000000007</v>
      </c>
      <c r="K44" s="2">
        <f t="shared" si="3"/>
        <v>-3.5470000000000002</v>
      </c>
    </row>
    <row r="45" spans="1:11" x14ac:dyDescent="0.35">
      <c r="A45" t="s">
        <v>54</v>
      </c>
      <c r="B45">
        <v>1.6133999999999999</v>
      </c>
      <c r="C45">
        <v>109</v>
      </c>
      <c r="D45">
        <v>450.91500000000002</v>
      </c>
      <c r="E45">
        <v>113.2722</v>
      </c>
      <c r="F45">
        <v>6</v>
      </c>
      <c r="G45" s="2">
        <f t="shared" si="2"/>
        <v>44.895800000000001</v>
      </c>
      <c r="H45">
        <v>108.61</v>
      </c>
      <c r="I45">
        <v>2</v>
      </c>
      <c r="J45">
        <v>113.2722</v>
      </c>
      <c r="K45" s="2">
        <f t="shared" si="3"/>
        <v>-3.5</v>
      </c>
    </row>
    <row r="46" spans="1:11" x14ac:dyDescent="0.35">
      <c r="A46" t="s">
        <v>55</v>
      </c>
      <c r="B46">
        <v>1.8444</v>
      </c>
      <c r="C46">
        <v>99.4</v>
      </c>
      <c r="D46">
        <v>408.87799999999999</v>
      </c>
      <c r="E46">
        <v>104.58920000000001</v>
      </c>
      <c r="F46">
        <v>6</v>
      </c>
      <c r="G46" s="2">
        <f t="shared" si="2"/>
        <v>41.454300000000003</v>
      </c>
      <c r="H46">
        <v>99.38</v>
      </c>
      <c r="I46">
        <v>2.2999999999999998</v>
      </c>
      <c r="J46">
        <v>104.58920000000001</v>
      </c>
      <c r="K46" s="2">
        <f t="shared" si="3"/>
        <v>-3.4279999999999999</v>
      </c>
    </row>
    <row r="47" spans="1:11" x14ac:dyDescent="0.35">
      <c r="A47" t="s">
        <v>56</v>
      </c>
      <c r="B47">
        <v>2.9683199999999998</v>
      </c>
      <c r="C47">
        <v>118</v>
      </c>
      <c r="D47">
        <v>444.524</v>
      </c>
      <c r="E47">
        <v>116.4182</v>
      </c>
      <c r="F47">
        <v>5</v>
      </c>
      <c r="G47" s="2">
        <f t="shared" si="2"/>
        <v>46.142800000000001</v>
      </c>
      <c r="H47">
        <v>90.15</v>
      </c>
      <c r="I47">
        <v>3.2</v>
      </c>
      <c r="J47">
        <v>116.4182</v>
      </c>
      <c r="K47" s="2">
        <f t="shared" si="3"/>
        <v>-4.282</v>
      </c>
    </row>
    <row r="48" spans="1:11" x14ac:dyDescent="0.35">
      <c r="A48" t="s">
        <v>57</v>
      </c>
      <c r="B48">
        <v>3.0739999999999998</v>
      </c>
      <c r="C48">
        <v>133</v>
      </c>
      <c r="D48">
        <v>490.62599999999998</v>
      </c>
      <c r="E48">
        <v>128.52189999999999</v>
      </c>
      <c r="F48">
        <v>7</v>
      </c>
      <c r="G48" s="2">
        <f t="shared" si="2"/>
        <v>50.940100000000001</v>
      </c>
      <c r="H48">
        <v>124.68</v>
      </c>
      <c r="I48">
        <v>3.9</v>
      </c>
      <c r="J48">
        <v>128.52189999999999</v>
      </c>
      <c r="K48" s="2">
        <f t="shared" si="3"/>
        <v>-4.8769999999999998</v>
      </c>
    </row>
    <row r="49" spans="1:11" x14ac:dyDescent="0.35">
      <c r="A49" t="s">
        <v>58</v>
      </c>
      <c r="B49">
        <v>1.62982</v>
      </c>
      <c r="C49">
        <v>86.9</v>
      </c>
      <c r="D49">
        <v>323.41800000000001</v>
      </c>
      <c r="E49">
        <v>82.436199999999999</v>
      </c>
      <c r="F49">
        <v>3</v>
      </c>
      <c r="G49" s="2">
        <f t="shared" si="2"/>
        <v>32.673900000000003</v>
      </c>
      <c r="H49">
        <v>78.510000000000005</v>
      </c>
      <c r="I49">
        <v>1.5</v>
      </c>
      <c r="J49">
        <v>82.436199999999999</v>
      </c>
      <c r="K49" s="2">
        <f t="shared" si="3"/>
        <v>-2.5920000000000001</v>
      </c>
    </row>
    <row r="50" spans="1:11" x14ac:dyDescent="0.35">
      <c r="A50" t="s">
        <v>59</v>
      </c>
      <c r="B50">
        <v>2.0165000000000002</v>
      </c>
      <c r="C50">
        <v>77</v>
      </c>
      <c r="D50">
        <v>407.31799999999998</v>
      </c>
      <c r="E50">
        <v>83.053399999999996</v>
      </c>
      <c r="F50">
        <v>4</v>
      </c>
      <c r="G50" s="2">
        <f t="shared" si="2"/>
        <v>32.918500000000002</v>
      </c>
      <c r="H50">
        <v>77.040000000000006</v>
      </c>
      <c r="I50">
        <v>0.7</v>
      </c>
      <c r="J50">
        <v>83.053399999999996</v>
      </c>
      <c r="K50" s="2">
        <f t="shared" si="3"/>
        <v>-2.5419999999999998</v>
      </c>
    </row>
    <row r="51" spans="1:11" x14ac:dyDescent="0.35">
      <c r="A51" t="s">
        <v>60</v>
      </c>
      <c r="B51">
        <v>1.9410000000000001</v>
      </c>
      <c r="C51">
        <v>113</v>
      </c>
      <c r="D51">
        <v>408.54500000000002</v>
      </c>
      <c r="E51">
        <v>107.83450000000001</v>
      </c>
      <c r="F51">
        <v>5</v>
      </c>
      <c r="G51" s="2">
        <f t="shared" si="2"/>
        <v>42.740600000000001</v>
      </c>
      <c r="H51">
        <v>86.71</v>
      </c>
      <c r="I51">
        <v>2.8</v>
      </c>
      <c r="J51">
        <v>107.83450000000001</v>
      </c>
      <c r="K51" s="2">
        <f t="shared" si="3"/>
        <v>-3.8069999999999999</v>
      </c>
    </row>
    <row r="52" spans="1:11" x14ac:dyDescent="0.35">
      <c r="A52" t="s">
        <v>61</v>
      </c>
      <c r="B52">
        <v>2.89974</v>
      </c>
      <c r="C52">
        <v>96.3</v>
      </c>
      <c r="D52">
        <v>345.42399999999998</v>
      </c>
      <c r="E52">
        <v>93.021100000000004</v>
      </c>
      <c r="F52">
        <v>5</v>
      </c>
      <c r="G52" s="2">
        <f t="shared" si="2"/>
        <v>36.869199999999999</v>
      </c>
      <c r="H52">
        <v>77.099999999999994</v>
      </c>
      <c r="I52">
        <v>2.2000000000000002</v>
      </c>
      <c r="J52">
        <v>93.021100000000004</v>
      </c>
      <c r="K52" s="2">
        <f t="shared" si="3"/>
        <v>-3.0379999999999998</v>
      </c>
    </row>
    <row r="53" spans="1:11" x14ac:dyDescent="0.35">
      <c r="A53" t="s">
        <v>62</v>
      </c>
      <c r="B53">
        <v>4.8523000000000103</v>
      </c>
      <c r="C53">
        <v>85.7</v>
      </c>
      <c r="D53">
        <v>416.58300000000003</v>
      </c>
      <c r="E53">
        <v>112.21</v>
      </c>
      <c r="F53">
        <v>1</v>
      </c>
      <c r="G53" s="2">
        <f t="shared" si="2"/>
        <v>44.474800000000002</v>
      </c>
      <c r="H53">
        <v>60.44</v>
      </c>
      <c r="I53">
        <v>2.9</v>
      </c>
      <c r="J53">
        <v>112.21</v>
      </c>
      <c r="K53" s="2">
        <f t="shared" si="3"/>
        <v>-4.1840000000000002</v>
      </c>
    </row>
    <row r="54" spans="1:11" x14ac:dyDescent="0.35">
      <c r="A54" t="s">
        <v>63</v>
      </c>
      <c r="B54">
        <v>3.1244999999999998</v>
      </c>
      <c r="C54">
        <v>82.2</v>
      </c>
      <c r="D54">
        <v>414.49799999999999</v>
      </c>
      <c r="E54">
        <v>105.15300000000001</v>
      </c>
      <c r="F54">
        <v>1</v>
      </c>
      <c r="G54" s="2">
        <f t="shared" si="2"/>
        <v>41.677799999999998</v>
      </c>
      <c r="H54">
        <v>82.2</v>
      </c>
      <c r="I54">
        <v>1.4</v>
      </c>
      <c r="J54">
        <v>105.15300000000001</v>
      </c>
      <c r="K54" s="2">
        <f t="shared" si="3"/>
        <v>-3.226</v>
      </c>
    </row>
    <row r="55" spans="1:11" x14ac:dyDescent="0.35">
      <c r="A55" t="s">
        <v>64</v>
      </c>
      <c r="B55">
        <v>0.91539999999999999</v>
      </c>
      <c r="C55">
        <v>63.8</v>
      </c>
      <c r="D55">
        <v>160.18</v>
      </c>
      <c r="E55">
        <v>47.348100000000002</v>
      </c>
      <c r="F55">
        <v>1</v>
      </c>
      <c r="G55" s="2">
        <f t="shared" si="2"/>
        <v>18.7666</v>
      </c>
      <c r="H55">
        <v>63.83</v>
      </c>
      <c r="I55">
        <v>0.7</v>
      </c>
      <c r="J55">
        <v>47.348100000000002</v>
      </c>
      <c r="K55" s="2">
        <f t="shared" si="3"/>
        <v>-1.208</v>
      </c>
    </row>
    <row r="56" spans="1:11" x14ac:dyDescent="0.35">
      <c r="A56" t="s">
        <v>65</v>
      </c>
      <c r="B56">
        <v>0.17237</v>
      </c>
      <c r="C56">
        <v>88.9</v>
      </c>
      <c r="D56">
        <v>209.25299999999999</v>
      </c>
      <c r="E56">
        <v>55.742600000000003</v>
      </c>
      <c r="F56">
        <v>1</v>
      </c>
      <c r="G56" s="2">
        <f t="shared" si="2"/>
        <v>22.093800000000002</v>
      </c>
      <c r="H56">
        <v>91.16</v>
      </c>
      <c r="I56">
        <v>1.2</v>
      </c>
      <c r="J56">
        <v>55.742600000000003</v>
      </c>
      <c r="K56" s="2">
        <f t="shared" si="3"/>
        <v>-1.827</v>
      </c>
    </row>
    <row r="57" spans="1:11" x14ac:dyDescent="0.35">
      <c r="A57" t="s">
        <v>66</v>
      </c>
      <c r="B57">
        <v>6.9362000000000101</v>
      </c>
      <c r="C57">
        <v>42.7</v>
      </c>
      <c r="D57">
        <v>645.31899999999996</v>
      </c>
      <c r="E57">
        <v>143.41749999999999</v>
      </c>
      <c r="F57">
        <v>11</v>
      </c>
      <c r="G57" s="2">
        <f t="shared" si="2"/>
        <v>56.844000000000001</v>
      </c>
      <c r="H57">
        <v>42.68</v>
      </c>
      <c r="I57">
        <v>7.6</v>
      </c>
      <c r="J57">
        <v>143.41749999999999</v>
      </c>
      <c r="K57" s="2">
        <f t="shared" si="3"/>
        <v>-7.9029999999999996</v>
      </c>
    </row>
    <row r="58" spans="1:11" x14ac:dyDescent="0.35">
      <c r="A58" t="s">
        <v>67</v>
      </c>
      <c r="B58">
        <v>7.0490000000000101</v>
      </c>
      <c r="C58">
        <v>97.2</v>
      </c>
      <c r="D58">
        <v>556.76900000000001</v>
      </c>
      <c r="E58">
        <v>159.535</v>
      </c>
      <c r="F58">
        <v>18</v>
      </c>
      <c r="G58" s="2">
        <f t="shared" si="2"/>
        <v>63.232300000000002</v>
      </c>
      <c r="H58">
        <v>88.85</v>
      </c>
      <c r="I58">
        <v>7.2</v>
      </c>
      <c r="J58">
        <v>159.535</v>
      </c>
      <c r="K58" s="2">
        <f t="shared" si="3"/>
        <v>-6.64</v>
      </c>
    </row>
    <row r="59" spans="1:11" x14ac:dyDescent="0.35">
      <c r="A59" t="s">
        <v>68</v>
      </c>
      <c r="B59">
        <v>3.4407000000000001</v>
      </c>
      <c r="C59">
        <v>59.6</v>
      </c>
      <c r="D59">
        <v>414.346</v>
      </c>
      <c r="E59">
        <v>87.516900000000106</v>
      </c>
      <c r="F59">
        <v>7</v>
      </c>
      <c r="G59" s="2">
        <f t="shared" si="2"/>
        <v>34.687600000000003</v>
      </c>
      <c r="H59">
        <v>59.59</v>
      </c>
      <c r="I59">
        <v>3.8</v>
      </c>
      <c r="J59">
        <v>87.516900000000106</v>
      </c>
      <c r="K59" s="2">
        <f t="shared" si="3"/>
        <v>-4.3410000000000002</v>
      </c>
    </row>
    <row r="60" spans="1:11" x14ac:dyDescent="0.35">
      <c r="A60" t="s">
        <v>69</v>
      </c>
      <c r="B60">
        <v>3.2414000000000001</v>
      </c>
      <c r="C60">
        <v>58.6</v>
      </c>
      <c r="D60">
        <v>341.45100000000002</v>
      </c>
      <c r="E60">
        <v>100.19799999999999</v>
      </c>
      <c r="F60">
        <v>11</v>
      </c>
      <c r="G60" s="2">
        <f t="shared" si="2"/>
        <v>39.713799999999999</v>
      </c>
      <c r="H60">
        <v>58.56</v>
      </c>
      <c r="I60">
        <v>3.3</v>
      </c>
      <c r="J60">
        <v>100.19799999999999</v>
      </c>
      <c r="K60" s="2">
        <f t="shared" si="3"/>
        <v>-3.31</v>
      </c>
    </row>
    <row r="61" spans="1:11" x14ac:dyDescent="0.35">
      <c r="A61" t="s">
        <v>70</v>
      </c>
      <c r="B61">
        <v>3.3618999999999999</v>
      </c>
      <c r="C61">
        <v>59.2</v>
      </c>
      <c r="D61">
        <v>339.483</v>
      </c>
      <c r="E61">
        <v>102.2484</v>
      </c>
      <c r="F61">
        <v>8</v>
      </c>
      <c r="G61" s="2">
        <f t="shared" si="2"/>
        <v>40.526499999999999</v>
      </c>
      <c r="H61">
        <v>59.22</v>
      </c>
      <c r="I61">
        <v>3.2</v>
      </c>
      <c r="J61">
        <v>102.2484</v>
      </c>
      <c r="K61" s="2">
        <f t="shared" si="3"/>
        <v>-3.4329999999999998</v>
      </c>
    </row>
    <row r="62" spans="1:11" x14ac:dyDescent="0.35">
      <c r="A62" t="s">
        <v>71</v>
      </c>
      <c r="B62">
        <v>1.0894999999999999</v>
      </c>
      <c r="C62">
        <v>86.8</v>
      </c>
      <c r="D62">
        <v>272.37</v>
      </c>
      <c r="E62">
        <v>73.007000000000005</v>
      </c>
      <c r="F62">
        <v>6</v>
      </c>
      <c r="G62" s="2">
        <f t="shared" si="2"/>
        <v>28.936599999999999</v>
      </c>
      <c r="H62">
        <v>78.430000000000007</v>
      </c>
      <c r="I62">
        <v>0.2</v>
      </c>
      <c r="J62">
        <v>73.007000000000005</v>
      </c>
      <c r="K62" s="2">
        <f t="shared" si="3"/>
        <v>-1.2589999999999999</v>
      </c>
    </row>
    <row r="63" spans="1:11" x14ac:dyDescent="0.35">
      <c r="A63" t="s">
        <v>72</v>
      </c>
      <c r="B63">
        <v>1.5299</v>
      </c>
      <c r="C63">
        <v>67.8</v>
      </c>
      <c r="D63">
        <v>295.37900000000002</v>
      </c>
      <c r="E63">
        <v>81.419499999999999</v>
      </c>
      <c r="F63">
        <v>9</v>
      </c>
      <c r="G63" s="2">
        <f t="shared" si="2"/>
        <v>32.270899999999997</v>
      </c>
      <c r="H63">
        <v>67.790000000000006</v>
      </c>
      <c r="I63">
        <v>1.9</v>
      </c>
      <c r="J63">
        <v>81.419499999999999</v>
      </c>
      <c r="K63" s="2">
        <f t="shared" si="3"/>
        <v>-2.274</v>
      </c>
    </row>
    <row r="64" spans="1:11" x14ac:dyDescent="0.35">
      <c r="A64" t="s">
        <v>73</v>
      </c>
      <c r="B64">
        <v>1.9056</v>
      </c>
      <c r="C64">
        <v>57.3</v>
      </c>
      <c r="D64">
        <v>248.32599999999999</v>
      </c>
      <c r="E64">
        <v>72.9392</v>
      </c>
      <c r="F64">
        <v>6</v>
      </c>
      <c r="G64" s="2">
        <f t="shared" si="2"/>
        <v>28.909700000000001</v>
      </c>
      <c r="H64">
        <v>57.28</v>
      </c>
      <c r="I64">
        <v>1.8</v>
      </c>
      <c r="J64">
        <v>72.9392</v>
      </c>
      <c r="K64" s="2">
        <f t="shared" si="3"/>
        <v>-2.1179999999999999</v>
      </c>
    </row>
    <row r="65" spans="1:11" x14ac:dyDescent="0.35">
      <c r="A65" t="s">
        <v>74</v>
      </c>
      <c r="B65">
        <v>2.3934000000000002</v>
      </c>
      <c r="C65">
        <v>50.7</v>
      </c>
      <c r="D65">
        <v>307.43400000000003</v>
      </c>
      <c r="E65">
        <v>88.329500000000095</v>
      </c>
      <c r="F65">
        <v>11</v>
      </c>
      <c r="G65" s="2">
        <f t="shared" si="2"/>
        <v>35.009700000000002</v>
      </c>
      <c r="H65">
        <v>50.72</v>
      </c>
      <c r="I65">
        <v>2.8</v>
      </c>
      <c r="J65">
        <v>88.329500000000095</v>
      </c>
      <c r="K65" s="2">
        <f t="shared" si="3"/>
        <v>-2.7839999999999998</v>
      </c>
    </row>
    <row r="66" spans="1:11" x14ac:dyDescent="0.35">
      <c r="A66" t="s">
        <v>75</v>
      </c>
      <c r="B66">
        <v>2.1528</v>
      </c>
      <c r="C66">
        <v>41.5</v>
      </c>
      <c r="D66">
        <v>249.35400000000001</v>
      </c>
      <c r="E66">
        <v>74.983500000000006</v>
      </c>
      <c r="F66">
        <v>8</v>
      </c>
      <c r="G66" s="2">
        <f t="shared" ref="G66:G101" si="4">ROUND(E66/2.523,4)</f>
        <v>29.72</v>
      </c>
      <c r="H66">
        <v>41.49</v>
      </c>
      <c r="I66">
        <v>3.1</v>
      </c>
      <c r="J66">
        <v>74.983500000000006</v>
      </c>
      <c r="K66" s="2">
        <f t="shared" ref="K66:K101" si="5">ROUND(0.16-0.63*I66-0.0062*D66+0.066*F66,3)</f>
        <v>-2.8109999999999999</v>
      </c>
    </row>
    <row r="67" spans="1:11" x14ac:dyDescent="0.35">
      <c r="A67" t="s">
        <v>76</v>
      </c>
      <c r="B67">
        <v>3.6778</v>
      </c>
      <c r="C67">
        <v>114</v>
      </c>
      <c r="D67">
        <v>479.53300000000002</v>
      </c>
      <c r="E67">
        <v>130.1241</v>
      </c>
      <c r="F67">
        <v>9</v>
      </c>
      <c r="G67" s="2">
        <f t="shared" si="4"/>
        <v>51.575099999999999</v>
      </c>
      <c r="H67">
        <v>111.01</v>
      </c>
      <c r="I67">
        <v>3.8</v>
      </c>
      <c r="J67">
        <v>130.1241</v>
      </c>
      <c r="K67" s="2">
        <f t="shared" si="5"/>
        <v>-4.6130000000000004</v>
      </c>
    </row>
    <row r="68" spans="1:11" x14ac:dyDescent="0.35">
      <c r="A68" t="s">
        <v>77</v>
      </c>
      <c r="B68">
        <v>2.5821999999999998</v>
      </c>
      <c r="C68">
        <v>104</v>
      </c>
      <c r="D68">
        <v>371.39299999999997</v>
      </c>
      <c r="E68">
        <v>96.324700000000107</v>
      </c>
      <c r="F68">
        <v>4</v>
      </c>
      <c r="G68" s="2">
        <f t="shared" si="4"/>
        <v>38.178600000000003</v>
      </c>
      <c r="H68">
        <v>103.55</v>
      </c>
      <c r="I68">
        <v>4.3</v>
      </c>
      <c r="J68">
        <v>96.324700000000107</v>
      </c>
      <c r="K68" s="2">
        <f t="shared" si="5"/>
        <v>-4.5880000000000001</v>
      </c>
    </row>
    <row r="69" spans="1:11" x14ac:dyDescent="0.35">
      <c r="A69" t="s">
        <v>78</v>
      </c>
      <c r="B69">
        <v>2.9708000000000001</v>
      </c>
      <c r="C69">
        <v>120</v>
      </c>
      <c r="D69">
        <v>418.44600000000003</v>
      </c>
      <c r="E69">
        <v>108.4361</v>
      </c>
      <c r="F69">
        <v>8</v>
      </c>
      <c r="G69" s="2">
        <f t="shared" si="4"/>
        <v>42.978999999999999</v>
      </c>
      <c r="H69">
        <v>117</v>
      </c>
      <c r="I69">
        <v>3.1</v>
      </c>
      <c r="J69">
        <v>108.4361</v>
      </c>
      <c r="K69" s="2">
        <f t="shared" si="5"/>
        <v>-3.859</v>
      </c>
    </row>
    <row r="70" spans="1:11" x14ac:dyDescent="0.35">
      <c r="A70" t="s">
        <v>79</v>
      </c>
      <c r="B70">
        <v>4.2451999999999996</v>
      </c>
      <c r="C70">
        <v>90.9</v>
      </c>
      <c r="D70">
        <v>456.322</v>
      </c>
      <c r="E70">
        <v>111.7137</v>
      </c>
      <c r="F70">
        <v>7</v>
      </c>
      <c r="G70" s="2">
        <f t="shared" si="4"/>
        <v>44.278100000000002</v>
      </c>
      <c r="H70">
        <v>90.93</v>
      </c>
      <c r="I70">
        <v>4.3</v>
      </c>
      <c r="J70">
        <v>111.7137</v>
      </c>
      <c r="K70" s="2">
        <f t="shared" si="5"/>
        <v>-4.9160000000000004</v>
      </c>
    </row>
    <row r="71" spans="1:11" x14ac:dyDescent="0.35">
      <c r="A71" t="s">
        <v>80</v>
      </c>
      <c r="B71">
        <v>4.8302000000000103</v>
      </c>
      <c r="C71">
        <v>15.7</v>
      </c>
      <c r="D71">
        <v>366.54899999999998</v>
      </c>
      <c r="E71">
        <v>114.18600000000001</v>
      </c>
      <c r="F71">
        <v>10</v>
      </c>
      <c r="G71" s="2">
        <f t="shared" si="4"/>
        <v>45.258000000000003</v>
      </c>
      <c r="H71">
        <v>15.71</v>
      </c>
      <c r="I71">
        <v>5.3</v>
      </c>
      <c r="J71">
        <v>114.18600000000001</v>
      </c>
      <c r="K71" s="2">
        <f t="shared" si="5"/>
        <v>-4.7919999999999998</v>
      </c>
    </row>
    <row r="72" spans="1:11" x14ac:dyDescent="0.35">
      <c r="A72" t="s">
        <v>81</v>
      </c>
      <c r="B72">
        <v>2.6236199999999998</v>
      </c>
      <c r="C72">
        <v>212</v>
      </c>
      <c r="D72">
        <v>543.60599999999999</v>
      </c>
      <c r="E72">
        <v>142.66370000000001</v>
      </c>
      <c r="F72">
        <v>8</v>
      </c>
      <c r="G72" s="2">
        <f t="shared" si="4"/>
        <v>56.545299999999997</v>
      </c>
      <c r="H72">
        <v>203.73</v>
      </c>
      <c r="I72" s="2">
        <f>ROUND(0.827073817942068*B72+0.449952214760327,2)</f>
        <v>2.62</v>
      </c>
      <c r="J72">
        <v>142.66370000000001</v>
      </c>
      <c r="K72" s="2">
        <f t="shared" si="5"/>
        <v>-4.3330000000000002</v>
      </c>
    </row>
    <row r="73" spans="1:11" x14ac:dyDescent="0.35">
      <c r="A73" t="s">
        <v>82</v>
      </c>
      <c r="B73">
        <v>3.7955000000000001</v>
      </c>
      <c r="C73">
        <v>76.900000000000006</v>
      </c>
      <c r="D73">
        <v>404.49099999999999</v>
      </c>
      <c r="E73">
        <v>113.68040000000001</v>
      </c>
      <c r="F73">
        <v>6</v>
      </c>
      <c r="G73" s="2">
        <f t="shared" si="4"/>
        <v>45.057600000000001</v>
      </c>
      <c r="H73">
        <v>57.69</v>
      </c>
      <c r="I73">
        <v>2.2999999999999998</v>
      </c>
      <c r="J73">
        <v>113.68040000000001</v>
      </c>
      <c r="K73" s="2">
        <f t="shared" si="5"/>
        <v>-3.4009999999999998</v>
      </c>
    </row>
    <row r="74" spans="1:11" x14ac:dyDescent="0.35">
      <c r="A74" t="s">
        <v>83</v>
      </c>
      <c r="B74">
        <v>2.0834000000000001</v>
      </c>
      <c r="C74">
        <v>101</v>
      </c>
      <c r="D74">
        <v>365.84199999999998</v>
      </c>
      <c r="E74">
        <v>92.378399999999999</v>
      </c>
      <c r="F74">
        <v>3</v>
      </c>
      <c r="G74" s="2">
        <f t="shared" si="4"/>
        <v>36.6145</v>
      </c>
      <c r="H74">
        <v>92.5</v>
      </c>
      <c r="I74">
        <v>2.9</v>
      </c>
      <c r="J74">
        <v>92.378399999999999</v>
      </c>
      <c r="K74" s="2">
        <f t="shared" si="5"/>
        <v>-3.7370000000000001</v>
      </c>
    </row>
    <row r="75" spans="1:11" x14ac:dyDescent="0.35">
      <c r="A75" t="s">
        <v>84</v>
      </c>
      <c r="B75">
        <v>0.92420000000000002</v>
      </c>
      <c r="C75">
        <v>118</v>
      </c>
      <c r="D75">
        <v>338.77199999999999</v>
      </c>
      <c r="E75">
        <v>79.732200000000006</v>
      </c>
      <c r="F75">
        <v>2</v>
      </c>
      <c r="G75" s="2">
        <f t="shared" si="4"/>
        <v>31.6021</v>
      </c>
      <c r="H75">
        <v>109.49</v>
      </c>
      <c r="I75">
        <v>0.9</v>
      </c>
      <c r="J75">
        <v>79.732200000000006</v>
      </c>
      <c r="K75" s="2">
        <f t="shared" si="5"/>
        <v>-2.375</v>
      </c>
    </row>
    <row r="76" spans="1:11" x14ac:dyDescent="0.35">
      <c r="A76" t="s">
        <v>85</v>
      </c>
      <c r="B76">
        <v>1.8907</v>
      </c>
      <c r="C76">
        <v>131</v>
      </c>
      <c r="D76">
        <v>330.74900000000002</v>
      </c>
      <c r="E76">
        <v>75.819199999999995</v>
      </c>
      <c r="F76">
        <v>5</v>
      </c>
      <c r="G76" s="2">
        <f t="shared" si="4"/>
        <v>30.051200000000001</v>
      </c>
      <c r="H76">
        <v>122.63</v>
      </c>
      <c r="I76">
        <v>2</v>
      </c>
      <c r="J76">
        <v>75.819199999999995</v>
      </c>
      <c r="K76" s="2">
        <f t="shared" si="5"/>
        <v>-2.8210000000000002</v>
      </c>
    </row>
    <row r="77" spans="1:11" x14ac:dyDescent="0.35">
      <c r="A77" t="s">
        <v>86</v>
      </c>
      <c r="B77">
        <v>2.5299200000000002</v>
      </c>
      <c r="C77">
        <v>109</v>
      </c>
      <c r="D77">
        <v>348.428</v>
      </c>
      <c r="E77">
        <v>92.687899999999999</v>
      </c>
      <c r="F77">
        <v>5</v>
      </c>
      <c r="G77" s="2">
        <f t="shared" si="4"/>
        <v>36.737200000000001</v>
      </c>
      <c r="H77">
        <v>100.19</v>
      </c>
      <c r="I77">
        <v>2.7</v>
      </c>
      <c r="J77">
        <v>92.687899999999999</v>
      </c>
      <c r="K77" s="2">
        <f t="shared" si="5"/>
        <v>-3.371</v>
      </c>
    </row>
    <row r="78" spans="1:11" x14ac:dyDescent="0.35">
      <c r="A78" t="s">
        <v>87</v>
      </c>
      <c r="B78">
        <v>-0.85609999999999997</v>
      </c>
      <c r="C78">
        <v>152</v>
      </c>
      <c r="D78">
        <v>222.251</v>
      </c>
      <c r="E78">
        <v>45.585900000000002</v>
      </c>
      <c r="F78">
        <v>2</v>
      </c>
      <c r="G78" s="2">
        <f t="shared" si="4"/>
        <v>18.068100000000001</v>
      </c>
      <c r="H78">
        <v>115.04</v>
      </c>
      <c r="I78">
        <v>-0.3</v>
      </c>
      <c r="J78">
        <v>45.585900000000002</v>
      </c>
      <c r="K78" s="2">
        <f t="shared" si="5"/>
        <v>-0.89700000000000002</v>
      </c>
    </row>
    <row r="79" spans="1:11" x14ac:dyDescent="0.35">
      <c r="A79" t="s">
        <v>88</v>
      </c>
      <c r="B79">
        <v>1.1175999999999999</v>
      </c>
      <c r="C79">
        <v>43</v>
      </c>
      <c r="D79">
        <v>266.34100000000001</v>
      </c>
      <c r="E79">
        <v>74.244700000000094</v>
      </c>
      <c r="F79">
        <v>5</v>
      </c>
      <c r="G79" s="2">
        <f t="shared" si="4"/>
        <v>29.427199999999999</v>
      </c>
      <c r="H79">
        <v>42.96</v>
      </c>
      <c r="I79">
        <v>1</v>
      </c>
      <c r="J79">
        <v>74.244700000000094</v>
      </c>
      <c r="K79" s="2">
        <f t="shared" si="5"/>
        <v>-1.7909999999999999</v>
      </c>
    </row>
    <row r="80" spans="1:11" x14ac:dyDescent="0.35">
      <c r="A80" t="s">
        <v>89</v>
      </c>
      <c r="B80">
        <v>1.9699999999999902E-2</v>
      </c>
      <c r="C80">
        <v>97</v>
      </c>
      <c r="D80">
        <v>211.17699999999999</v>
      </c>
      <c r="E80">
        <v>49.516599999999997</v>
      </c>
      <c r="F80">
        <v>5</v>
      </c>
      <c r="G80" s="2">
        <f t="shared" si="4"/>
        <v>19.626100000000001</v>
      </c>
      <c r="H80">
        <v>94.36</v>
      </c>
      <c r="I80">
        <v>0.8</v>
      </c>
      <c r="J80">
        <v>49.516599999999997</v>
      </c>
      <c r="K80" s="2">
        <f t="shared" si="5"/>
        <v>-1.323</v>
      </c>
    </row>
    <row r="81" spans="1:11" x14ac:dyDescent="0.35">
      <c r="A81" t="s">
        <v>90</v>
      </c>
      <c r="B81">
        <v>5.2954000000000097</v>
      </c>
      <c r="C81">
        <v>12</v>
      </c>
      <c r="D81">
        <v>277.49599999999998</v>
      </c>
      <c r="E81">
        <v>86.898700000000105</v>
      </c>
      <c r="F81">
        <v>4</v>
      </c>
      <c r="G81" s="2">
        <f t="shared" si="4"/>
        <v>34.442599999999999</v>
      </c>
      <c r="H81">
        <v>12.03</v>
      </c>
      <c r="I81">
        <v>6.8</v>
      </c>
      <c r="J81">
        <v>86.898700000000105</v>
      </c>
      <c r="K81" s="2">
        <f t="shared" si="5"/>
        <v>-5.58</v>
      </c>
    </row>
    <row r="82" spans="1:11" x14ac:dyDescent="0.35">
      <c r="A82" t="s">
        <v>91</v>
      </c>
      <c r="B82">
        <v>3.2934999999999999</v>
      </c>
      <c r="C82">
        <v>146</v>
      </c>
      <c r="D82">
        <v>551.76900000000001</v>
      </c>
      <c r="E82">
        <v>154.54329999999999</v>
      </c>
      <c r="F82">
        <v>19</v>
      </c>
      <c r="G82" s="2">
        <f t="shared" si="4"/>
        <v>61.253799999999998</v>
      </c>
      <c r="H82">
        <v>146.13</v>
      </c>
      <c r="I82">
        <v>3.5</v>
      </c>
      <c r="J82">
        <v>154.54329999999999</v>
      </c>
      <c r="K82" s="2">
        <f t="shared" si="5"/>
        <v>-4.2119999999999997</v>
      </c>
    </row>
    <row r="83" spans="1:11" x14ac:dyDescent="0.35">
      <c r="A83" t="s">
        <v>92</v>
      </c>
      <c r="B83">
        <v>2.7732999999999999</v>
      </c>
      <c r="C83">
        <v>95.9</v>
      </c>
      <c r="D83">
        <v>430.54500000000002</v>
      </c>
      <c r="E83">
        <v>116.4145</v>
      </c>
      <c r="F83">
        <v>9</v>
      </c>
      <c r="G83" s="2">
        <f t="shared" si="4"/>
        <v>46.141300000000001</v>
      </c>
      <c r="H83">
        <v>95.94</v>
      </c>
      <c r="I83">
        <v>2</v>
      </c>
      <c r="J83">
        <v>116.4145</v>
      </c>
      <c r="K83" s="2">
        <f t="shared" si="5"/>
        <v>-3.1749999999999998</v>
      </c>
    </row>
    <row r="84" spans="1:11" x14ac:dyDescent="0.35">
      <c r="A84" t="s">
        <v>93</v>
      </c>
      <c r="B84">
        <v>4.2758000000000003</v>
      </c>
      <c r="C84">
        <v>120</v>
      </c>
      <c r="D84">
        <v>492.52800000000002</v>
      </c>
      <c r="E84">
        <v>133.6431</v>
      </c>
      <c r="F84">
        <v>10</v>
      </c>
      <c r="G84" s="2">
        <f t="shared" si="4"/>
        <v>52.969900000000003</v>
      </c>
      <c r="H84">
        <v>117</v>
      </c>
      <c r="I84">
        <v>4.4000000000000004</v>
      </c>
      <c r="J84">
        <v>133.6431</v>
      </c>
      <c r="K84" s="2">
        <f t="shared" si="5"/>
        <v>-5.0060000000000002</v>
      </c>
    </row>
    <row r="85" spans="1:11" x14ac:dyDescent="0.35">
      <c r="A85" t="s">
        <v>94</v>
      </c>
      <c r="B85">
        <v>4.4024999999999999</v>
      </c>
      <c r="C85">
        <v>90.9</v>
      </c>
      <c r="D85">
        <v>455.55099999999999</v>
      </c>
      <c r="E85">
        <v>125.86369999999999</v>
      </c>
      <c r="F85">
        <v>7</v>
      </c>
      <c r="G85" s="2">
        <f t="shared" si="4"/>
        <v>49.886499999999998</v>
      </c>
      <c r="H85">
        <v>90.93</v>
      </c>
      <c r="I85">
        <v>4.5</v>
      </c>
      <c r="J85">
        <v>125.86369999999999</v>
      </c>
      <c r="K85" s="2">
        <f t="shared" si="5"/>
        <v>-5.0369999999999999</v>
      </c>
    </row>
    <row r="86" spans="1:11" x14ac:dyDescent="0.35">
      <c r="A86" t="s">
        <v>95</v>
      </c>
      <c r="B86">
        <v>4.9530000000000101</v>
      </c>
      <c r="C86">
        <v>117</v>
      </c>
      <c r="D86">
        <v>610.71100000000001</v>
      </c>
      <c r="E86">
        <v>170.0881</v>
      </c>
      <c r="F86">
        <v>10</v>
      </c>
      <c r="G86" s="2">
        <f t="shared" si="4"/>
        <v>67.415000000000006</v>
      </c>
      <c r="H86">
        <v>114.25</v>
      </c>
      <c r="I86">
        <v>5.6</v>
      </c>
      <c r="J86">
        <v>170.0881</v>
      </c>
      <c r="K86" s="2">
        <f t="shared" si="5"/>
        <v>-6.4939999999999998</v>
      </c>
    </row>
    <row r="87" spans="1:11" x14ac:dyDescent="0.35">
      <c r="A87" t="s">
        <v>96</v>
      </c>
      <c r="B87">
        <v>2.5657000000000001</v>
      </c>
      <c r="C87">
        <v>110</v>
      </c>
      <c r="D87">
        <v>360.36599999999999</v>
      </c>
      <c r="E87">
        <v>93.022099999999995</v>
      </c>
      <c r="F87">
        <v>5</v>
      </c>
      <c r="G87" s="2">
        <f t="shared" si="4"/>
        <v>36.869599999999998</v>
      </c>
      <c r="H87">
        <v>107.77</v>
      </c>
      <c r="I87">
        <v>2.9</v>
      </c>
      <c r="J87">
        <v>93.022099999999995</v>
      </c>
      <c r="K87" s="2">
        <f t="shared" si="5"/>
        <v>-3.5710000000000002</v>
      </c>
    </row>
    <row r="88" spans="1:11" x14ac:dyDescent="0.35">
      <c r="A88" t="s">
        <v>97</v>
      </c>
      <c r="B88">
        <v>2.3658999999999999</v>
      </c>
      <c r="C88">
        <v>60</v>
      </c>
      <c r="D88">
        <v>325.44900000000001</v>
      </c>
      <c r="E88">
        <v>91.826500000000095</v>
      </c>
      <c r="F88">
        <v>12</v>
      </c>
      <c r="G88" s="2">
        <f t="shared" si="4"/>
        <v>36.395800000000001</v>
      </c>
      <c r="H88">
        <v>59.95</v>
      </c>
      <c r="I88">
        <v>1.9</v>
      </c>
      <c r="J88">
        <v>91.826500000000095</v>
      </c>
      <c r="K88" s="2">
        <f t="shared" si="5"/>
        <v>-2.2629999999999999</v>
      </c>
    </row>
    <row r="89" spans="1:11" x14ac:dyDescent="0.35">
      <c r="A89" t="s">
        <v>98</v>
      </c>
      <c r="B89">
        <v>2.5775000000000001</v>
      </c>
      <c r="C89">
        <v>41.5</v>
      </c>
      <c r="D89">
        <v>259.34899999999999</v>
      </c>
      <c r="E89">
        <v>78.588500000000096</v>
      </c>
      <c r="F89">
        <v>6</v>
      </c>
      <c r="G89" s="2">
        <f t="shared" si="4"/>
        <v>31.148800000000001</v>
      </c>
      <c r="H89">
        <v>41.49</v>
      </c>
      <c r="I89">
        <v>3</v>
      </c>
      <c r="J89">
        <v>78.588500000000096</v>
      </c>
      <c r="K89" s="2">
        <f t="shared" si="5"/>
        <v>-2.9420000000000002</v>
      </c>
    </row>
    <row r="90" spans="1:11" x14ac:dyDescent="0.35">
      <c r="A90" t="s">
        <v>99</v>
      </c>
      <c r="B90">
        <v>6.9002000000000097</v>
      </c>
      <c r="C90">
        <v>114</v>
      </c>
      <c r="D90">
        <v>648.20000000000005</v>
      </c>
      <c r="E90">
        <v>180.6491</v>
      </c>
      <c r="F90">
        <v>12</v>
      </c>
      <c r="G90" s="2">
        <f t="shared" si="4"/>
        <v>71.600899999999996</v>
      </c>
      <c r="H90">
        <v>111.01</v>
      </c>
      <c r="I90" s="2">
        <f>ROUND(0.827073817942068*B90+0.449952214760327,2)</f>
        <v>6.16</v>
      </c>
      <c r="J90">
        <v>180.6491</v>
      </c>
      <c r="K90" s="2">
        <f t="shared" si="5"/>
        <v>-6.9480000000000004</v>
      </c>
    </row>
    <row r="91" spans="1:11" x14ac:dyDescent="0.35">
      <c r="A91" t="s">
        <v>100</v>
      </c>
      <c r="B91">
        <v>3.738</v>
      </c>
      <c r="C91">
        <v>75.7</v>
      </c>
      <c r="D91">
        <v>406.48200000000003</v>
      </c>
      <c r="E91">
        <v>118.6652</v>
      </c>
      <c r="F91">
        <v>10</v>
      </c>
      <c r="G91" s="2">
        <f t="shared" si="4"/>
        <v>47.0334</v>
      </c>
      <c r="H91">
        <v>75.739999999999995</v>
      </c>
      <c r="I91">
        <v>4.2</v>
      </c>
      <c r="J91">
        <v>118.6652</v>
      </c>
      <c r="K91" s="2">
        <f t="shared" si="5"/>
        <v>-4.3460000000000001</v>
      </c>
    </row>
    <row r="92" spans="1:11" x14ac:dyDescent="0.35">
      <c r="A92" t="s">
        <v>101</v>
      </c>
      <c r="B92">
        <v>4.0218999999999996</v>
      </c>
      <c r="C92">
        <v>84.4</v>
      </c>
      <c r="D92">
        <v>448.97199999999998</v>
      </c>
      <c r="E92">
        <v>119.505</v>
      </c>
      <c r="F92">
        <v>6</v>
      </c>
      <c r="G92" s="2">
        <f t="shared" si="4"/>
        <v>47.366199999999999</v>
      </c>
      <c r="H92">
        <v>59.08</v>
      </c>
      <c r="I92">
        <v>3.7</v>
      </c>
      <c r="J92">
        <v>119.505</v>
      </c>
      <c r="K92" s="2">
        <f t="shared" si="5"/>
        <v>-4.5590000000000002</v>
      </c>
    </row>
    <row r="93" spans="1:11" x14ac:dyDescent="0.35">
      <c r="A93" t="s">
        <v>102</v>
      </c>
      <c r="B93">
        <v>-1.4432</v>
      </c>
      <c r="C93">
        <v>220</v>
      </c>
      <c r="D93">
        <v>302.108</v>
      </c>
      <c r="E93">
        <v>49.627600000000001</v>
      </c>
      <c r="F93">
        <v>11</v>
      </c>
      <c r="G93" s="2">
        <f t="shared" si="4"/>
        <v>19.670100000000001</v>
      </c>
      <c r="H93">
        <v>209.48</v>
      </c>
      <c r="I93">
        <v>1.4</v>
      </c>
      <c r="J93">
        <v>49.627600000000001</v>
      </c>
      <c r="K93" s="2">
        <f t="shared" si="5"/>
        <v>-1.869</v>
      </c>
    </row>
    <row r="94" spans="1:11" x14ac:dyDescent="0.35">
      <c r="A94" t="s">
        <v>103</v>
      </c>
      <c r="B94">
        <v>2.3080400000000001</v>
      </c>
      <c r="C94">
        <v>74.3</v>
      </c>
      <c r="D94">
        <v>427.54500000000002</v>
      </c>
      <c r="E94">
        <v>121.92149999999999</v>
      </c>
      <c r="F94">
        <v>9</v>
      </c>
      <c r="G94" s="2">
        <f t="shared" si="4"/>
        <v>48.323999999999998</v>
      </c>
      <c r="H94">
        <v>74.27</v>
      </c>
      <c r="I94">
        <v>2.7</v>
      </c>
      <c r="J94">
        <v>121.92149999999999</v>
      </c>
      <c r="K94" s="2">
        <f t="shared" si="5"/>
        <v>-3.5979999999999999</v>
      </c>
    </row>
    <row r="95" spans="1:11" x14ac:dyDescent="0.35">
      <c r="A95" t="s">
        <v>104</v>
      </c>
      <c r="B95">
        <v>3.3125</v>
      </c>
      <c r="C95">
        <v>90.9</v>
      </c>
      <c r="D95">
        <v>415.96199999999999</v>
      </c>
      <c r="E95">
        <v>114.8917</v>
      </c>
      <c r="F95">
        <v>9</v>
      </c>
      <c r="G95" s="2">
        <f t="shared" si="4"/>
        <v>45.537700000000001</v>
      </c>
      <c r="H95">
        <v>90.9</v>
      </c>
      <c r="I95" s="2">
        <f>ROUND(0.827073817942068*B95+0.449952214760327,2)</f>
        <v>3.19</v>
      </c>
      <c r="J95">
        <v>114.8917</v>
      </c>
      <c r="K95" s="2">
        <f t="shared" si="5"/>
        <v>-3.835</v>
      </c>
    </row>
    <row r="96" spans="1:11" x14ac:dyDescent="0.35">
      <c r="A96" t="s">
        <v>105</v>
      </c>
      <c r="B96">
        <v>1.2188000000000001</v>
      </c>
      <c r="C96">
        <v>70.7</v>
      </c>
      <c r="D96">
        <v>291.37599999999998</v>
      </c>
      <c r="E96">
        <v>77.988500000000002</v>
      </c>
      <c r="F96">
        <v>2</v>
      </c>
      <c r="G96" s="2">
        <f t="shared" si="4"/>
        <v>30.911000000000001</v>
      </c>
      <c r="H96">
        <v>62.3</v>
      </c>
      <c r="I96">
        <v>1</v>
      </c>
      <c r="J96">
        <v>77.988500000000002</v>
      </c>
      <c r="K96" s="2">
        <f t="shared" si="5"/>
        <v>-2.145</v>
      </c>
    </row>
    <row r="97" spans="1:11" x14ac:dyDescent="0.35">
      <c r="A97" t="s">
        <v>106</v>
      </c>
      <c r="B97">
        <v>5.0308999999999999</v>
      </c>
      <c r="C97">
        <v>60.5</v>
      </c>
      <c r="D97">
        <v>403.21199999999999</v>
      </c>
      <c r="E97">
        <v>93.503200000000007</v>
      </c>
      <c r="F97">
        <v>7</v>
      </c>
      <c r="G97" s="2">
        <f t="shared" si="4"/>
        <v>37.060299999999998</v>
      </c>
      <c r="H97">
        <v>60.45</v>
      </c>
      <c r="I97">
        <v>4.5999999999999996</v>
      </c>
      <c r="J97">
        <v>93.503200000000007</v>
      </c>
      <c r="K97" s="2">
        <f t="shared" si="5"/>
        <v>-4.7759999999999998</v>
      </c>
    </row>
    <row r="98" spans="1:11" x14ac:dyDescent="0.35">
      <c r="A98" t="s">
        <v>107</v>
      </c>
      <c r="B98">
        <v>1.9406000000000001</v>
      </c>
      <c r="C98">
        <v>95.9</v>
      </c>
      <c r="D98">
        <v>368.47399999999999</v>
      </c>
      <c r="E98">
        <v>96.559500000000099</v>
      </c>
      <c r="F98">
        <v>8</v>
      </c>
      <c r="G98" s="2">
        <f t="shared" si="4"/>
        <v>38.271700000000003</v>
      </c>
      <c r="H98">
        <v>95.94</v>
      </c>
      <c r="I98">
        <v>0.9</v>
      </c>
      <c r="J98">
        <v>96.559500000000099</v>
      </c>
      <c r="K98" s="2">
        <f t="shared" si="5"/>
        <v>-2.1640000000000001</v>
      </c>
    </row>
    <row r="99" spans="1:11" x14ac:dyDescent="0.35">
      <c r="A99" t="s">
        <v>108</v>
      </c>
      <c r="B99">
        <v>2.5198999999999998</v>
      </c>
      <c r="C99">
        <v>116</v>
      </c>
      <c r="D99">
        <v>435.88900000000001</v>
      </c>
      <c r="E99">
        <v>108.8912</v>
      </c>
      <c r="F99">
        <v>5</v>
      </c>
      <c r="G99" s="2">
        <f t="shared" si="4"/>
        <v>43.159399999999998</v>
      </c>
      <c r="H99">
        <v>88.18</v>
      </c>
      <c r="I99">
        <v>2.5</v>
      </c>
      <c r="J99">
        <v>108.8912</v>
      </c>
      <c r="K99" s="2">
        <f t="shared" si="5"/>
        <v>-3.7879999999999998</v>
      </c>
    </row>
    <row r="100" spans="1:11" x14ac:dyDescent="0.35">
      <c r="A100" t="s">
        <v>109</v>
      </c>
      <c r="B100">
        <v>2.2181000000000002</v>
      </c>
      <c r="C100">
        <v>203</v>
      </c>
      <c r="D100">
        <v>780.94899999999996</v>
      </c>
      <c r="E100">
        <v>192.61079999999899</v>
      </c>
      <c r="F100">
        <v>7</v>
      </c>
      <c r="G100" s="2">
        <f t="shared" si="4"/>
        <v>76.341999999999999</v>
      </c>
      <c r="H100">
        <v>203.06</v>
      </c>
      <c r="I100">
        <v>1.3</v>
      </c>
      <c r="J100">
        <v>192.61079999999899</v>
      </c>
      <c r="K100" s="2">
        <f t="shared" si="5"/>
        <v>-5.0389999999999997</v>
      </c>
    </row>
    <row r="101" spans="1:11" x14ac:dyDescent="0.35">
      <c r="A101" t="s">
        <v>110</v>
      </c>
      <c r="B101">
        <v>3.835</v>
      </c>
      <c r="C101">
        <v>92.7</v>
      </c>
      <c r="D101">
        <v>411.49799999999999</v>
      </c>
      <c r="E101">
        <v>114.79649999999999</v>
      </c>
      <c r="F101">
        <v>11</v>
      </c>
      <c r="G101" s="2">
        <f t="shared" si="4"/>
        <v>45.5</v>
      </c>
      <c r="H101">
        <v>92.7</v>
      </c>
      <c r="I101">
        <v>3.7</v>
      </c>
      <c r="J101">
        <v>114.79649999999999</v>
      </c>
      <c r="K101" s="2">
        <f t="shared" si="5"/>
        <v>-3.996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2026-07-11T15:43:29Z</dcterms:created>
  <dcterms:modified xsi:type="dcterms:W3CDTF">2026-09-16T08:58:07Z</dcterms:modified>
  <dc:language>en-US</dc:language>
</cp:coreProperties>
</file>